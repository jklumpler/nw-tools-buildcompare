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07796b9fa51145d/Documents/Neverwinter/"/>
    </mc:Choice>
  </mc:AlternateContent>
  <xr:revisionPtr revIDLastSave="93" documentId="8_{2F300A37-BEC4-4C23-98AD-590834880329}" xr6:coauthVersionLast="46" xr6:coauthVersionMax="46" xr10:uidLastSave="{3CB967B8-6C74-4FD9-971C-5B3122DD7FC0}"/>
  <bookViews>
    <workbookView xWindow="-110" yWindow="-110" windowWidth="19420" windowHeight="10420" activeTab="2" xr2:uid="{C87E58A3-431A-4C23-9955-B206BDB537F9}"/>
  </bookViews>
  <sheets>
    <sheet name="Base" sheetId="1" r:id="rId1"/>
    <sheet name="Target" sheetId="2" r:id="rId2"/>
    <sheet name="Compare" sheetId="3" r:id="rId3"/>
  </sheets>
  <functionGroups builtInGroupCount="19"/>
  <definedNames>
    <definedName name="ExternalData_1" localSheetId="0">Base!$A$1:$B$389</definedName>
    <definedName name="ExternalData_1" localSheetId="1">Target!$A$1:$B$389</definedName>
    <definedName name="ExternalData_2" localSheetId="0">Base!$A$1:$B$389</definedName>
    <definedName name="ExternalData_2" localSheetId="1">Target!$A$1:$B$389</definedName>
    <definedName name="ExternalData_3" localSheetId="0">Base!$A$1:$B$389</definedName>
    <definedName name="ExternalData_4" localSheetId="0">Base!$A$1:$B$389</definedName>
    <definedName name="ExternalData_5" localSheetId="0">Base!$A$1:$B$389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8" i="3" l="1"/>
  <c r="C127" i="3"/>
  <c r="C126" i="3"/>
  <c r="B128" i="3"/>
  <c r="B127" i="3"/>
  <c r="B126" i="3"/>
  <c r="C125" i="3"/>
  <c r="B125" i="3"/>
  <c r="C123" i="3"/>
  <c r="B123" i="3"/>
  <c r="C122" i="3"/>
  <c r="B122" i="3"/>
  <c r="C121" i="3"/>
  <c r="B121" i="3"/>
  <c r="C120" i="3"/>
  <c r="B120" i="3"/>
  <c r="C118" i="3"/>
  <c r="B118" i="3"/>
  <c r="C117" i="3"/>
  <c r="B117" i="3"/>
  <c r="C116" i="3"/>
  <c r="B116" i="3"/>
  <c r="C115" i="3"/>
  <c r="B115" i="3"/>
  <c r="C113" i="3"/>
  <c r="C112" i="3"/>
  <c r="C111" i="3"/>
  <c r="B113" i="3"/>
  <c r="B112" i="3"/>
  <c r="B111" i="3"/>
  <c r="C110" i="3"/>
  <c r="B110" i="3"/>
  <c r="C108" i="3"/>
  <c r="B108" i="3"/>
  <c r="C107" i="3"/>
  <c r="B107" i="3"/>
  <c r="C106" i="3"/>
  <c r="B106" i="3"/>
  <c r="C105" i="3"/>
  <c r="B105" i="3"/>
  <c r="C103" i="3"/>
  <c r="C102" i="3"/>
  <c r="B103" i="3"/>
  <c r="D103" i="3" s="1"/>
  <c r="B102" i="3"/>
  <c r="C99" i="3"/>
  <c r="B99" i="3"/>
  <c r="C98" i="3"/>
  <c r="B98" i="3"/>
  <c r="C97" i="3"/>
  <c r="B97" i="3"/>
  <c r="C96" i="3"/>
  <c r="B96" i="3"/>
  <c r="C95" i="3"/>
  <c r="B95" i="3"/>
  <c r="C94" i="3"/>
  <c r="B94" i="3"/>
  <c r="C93" i="3"/>
  <c r="B93" i="3"/>
  <c r="C91" i="3"/>
  <c r="C90" i="3"/>
  <c r="C89" i="3"/>
  <c r="C87" i="3"/>
  <c r="C86" i="3"/>
  <c r="C85" i="3"/>
  <c r="C83" i="3"/>
  <c r="C82" i="3"/>
  <c r="C81" i="3"/>
  <c r="B91" i="3"/>
  <c r="B87" i="3"/>
  <c r="B90" i="3"/>
  <c r="B86" i="3"/>
  <c r="B83" i="3"/>
  <c r="B82" i="3"/>
  <c r="B89" i="3"/>
  <c r="B85" i="3"/>
  <c r="D85" i="3" s="1"/>
  <c r="B81" i="3"/>
  <c r="C78" i="3"/>
  <c r="C77" i="3"/>
  <c r="C76" i="3"/>
  <c r="C75" i="3"/>
  <c r="B78" i="3"/>
  <c r="B77" i="3"/>
  <c r="B76" i="3"/>
  <c r="D76" i="3" s="1"/>
  <c r="B75" i="3"/>
  <c r="C42" i="3"/>
  <c r="B42" i="3"/>
  <c r="C41" i="3"/>
  <c r="B41" i="3"/>
  <c r="C66" i="3"/>
  <c r="B66" i="3"/>
  <c r="C61" i="3"/>
  <c r="B61" i="3"/>
  <c r="C56" i="3"/>
  <c r="B56" i="3"/>
  <c r="C51" i="3"/>
  <c r="B51" i="3"/>
  <c r="C46" i="3"/>
  <c r="B46" i="3"/>
  <c r="C31" i="3"/>
  <c r="B31" i="3"/>
  <c r="C27" i="3"/>
  <c r="B27" i="3"/>
  <c r="C22" i="3"/>
  <c r="B22" i="3"/>
  <c r="C72" i="3"/>
  <c r="B72" i="3"/>
  <c r="C71" i="3"/>
  <c r="B71" i="3"/>
  <c r="C69" i="3"/>
  <c r="B69" i="3"/>
  <c r="C68" i="3"/>
  <c r="B68" i="3"/>
  <c r="C65" i="3"/>
  <c r="C64" i="3"/>
  <c r="B65" i="3"/>
  <c r="B64" i="3"/>
  <c r="C63" i="3"/>
  <c r="B63" i="3"/>
  <c r="C60" i="3"/>
  <c r="B60" i="3"/>
  <c r="C59" i="3"/>
  <c r="B59" i="3"/>
  <c r="C58" i="3"/>
  <c r="B58" i="3"/>
  <c r="C55" i="3"/>
  <c r="C54" i="3"/>
  <c r="B55" i="3"/>
  <c r="B54" i="3"/>
  <c r="C53" i="3"/>
  <c r="B53" i="3"/>
  <c r="C50" i="3"/>
  <c r="B50" i="3"/>
  <c r="C49" i="3"/>
  <c r="B49" i="3"/>
  <c r="C48" i="3"/>
  <c r="B48" i="3"/>
  <c r="C45" i="3"/>
  <c r="B45" i="3"/>
  <c r="C44" i="3"/>
  <c r="B44" i="3"/>
  <c r="C40" i="3"/>
  <c r="B40" i="3"/>
  <c r="C39" i="3"/>
  <c r="B39" i="3"/>
  <c r="C38" i="3"/>
  <c r="B38" i="3"/>
  <c r="C36" i="3"/>
  <c r="B36" i="3"/>
  <c r="C35" i="3"/>
  <c r="B35" i="3"/>
  <c r="C34" i="3"/>
  <c r="B34" i="3"/>
  <c r="C33" i="3"/>
  <c r="B33" i="3"/>
  <c r="C30" i="3"/>
  <c r="B30" i="3"/>
  <c r="C29" i="3"/>
  <c r="B29" i="3"/>
  <c r="C26" i="3"/>
  <c r="B26" i="3"/>
  <c r="C25" i="3"/>
  <c r="B25" i="3"/>
  <c r="C24" i="3"/>
  <c r="B24" i="3"/>
  <c r="C21" i="3"/>
  <c r="B21" i="3"/>
  <c r="C20" i="3"/>
  <c r="B20" i="3"/>
  <c r="B17" i="3"/>
  <c r="C17" i="3"/>
  <c r="C16" i="3"/>
  <c r="C15" i="3"/>
  <c r="C14" i="3"/>
  <c r="C13" i="3"/>
  <c r="C12" i="3"/>
  <c r="B16" i="3"/>
  <c r="B15" i="3"/>
  <c r="B14" i="3"/>
  <c r="B13" i="3"/>
  <c r="B12" i="3"/>
  <c r="C9" i="3"/>
  <c r="C8" i="3"/>
  <c r="B9" i="3"/>
  <c r="B8" i="3"/>
  <c r="C7" i="3"/>
  <c r="B7" i="3"/>
  <c r="B4" i="3"/>
  <c r="B3" i="3"/>
  <c r="B2" i="3"/>
  <c r="D77" i="3" l="1"/>
  <c r="D87" i="3"/>
  <c r="D86" i="3"/>
  <c r="D75" i="3"/>
  <c r="D82" i="3"/>
  <c r="D83" i="3"/>
  <c r="D94" i="3"/>
  <c r="D98" i="3"/>
  <c r="D90" i="3"/>
  <c r="D95" i="3"/>
  <c r="D99" i="3"/>
  <c r="D106" i="3"/>
  <c r="D111" i="3"/>
  <c r="D116" i="3"/>
  <c r="D121" i="3"/>
  <c r="D126" i="3"/>
  <c r="D112" i="3"/>
  <c r="D127" i="3"/>
  <c r="D81" i="3"/>
  <c r="D91" i="3"/>
  <c r="D96" i="3"/>
  <c r="D102" i="3"/>
  <c r="D107" i="3"/>
  <c r="D113" i="3"/>
  <c r="D117" i="3"/>
  <c r="D122" i="3"/>
  <c r="D128" i="3"/>
  <c r="D89" i="3"/>
  <c r="D93" i="3"/>
  <c r="D97" i="3"/>
  <c r="D108" i="3"/>
  <c r="D118" i="3"/>
  <c r="D123" i="3"/>
  <c r="D78" i="3"/>
  <c r="D105" i="3"/>
  <c r="D110" i="3"/>
  <c r="D115" i="3"/>
  <c r="D120" i="3"/>
  <c r="D125" i="3"/>
  <c r="D42" i="3"/>
  <c r="D41" i="3"/>
  <c r="D66" i="3"/>
  <c r="D61" i="3"/>
  <c r="D56" i="3"/>
  <c r="D51" i="3"/>
  <c r="D46" i="3"/>
  <c r="D31" i="3"/>
  <c r="D27" i="3"/>
  <c r="D12" i="3"/>
  <c r="D24" i="3"/>
  <c r="D36" i="3"/>
  <c r="D14" i="3"/>
  <c r="D20" i="3"/>
  <c r="D26" i="3"/>
  <c r="D34" i="3"/>
  <c r="D39" i="3"/>
  <c r="D9" i="3"/>
  <c r="D21" i="3"/>
  <c r="D29" i="3"/>
  <c r="D35" i="3"/>
  <c r="D40" i="3"/>
  <c r="D17" i="3"/>
  <c r="D38" i="3"/>
  <c r="D13" i="3"/>
  <c r="D30" i="3"/>
  <c r="D7" i="3"/>
  <c r="D25" i="3"/>
  <c r="D33" i="3"/>
  <c r="D15" i="3"/>
  <c r="D16" i="3"/>
  <c r="D8" i="3"/>
  <c r="D22" i="3"/>
  <c r="D72" i="3"/>
  <c r="D71" i="3"/>
  <c r="D69" i="3"/>
  <c r="D68" i="3"/>
  <c r="D65" i="3"/>
  <c r="D64" i="3"/>
  <c r="D63" i="3"/>
  <c r="D60" i="3"/>
  <c r="D59" i="3"/>
  <c r="D58" i="3"/>
  <c r="D55" i="3"/>
  <c r="D54" i="3"/>
  <c r="D53" i="3"/>
  <c r="D50" i="3"/>
  <c r="D49" i="3"/>
  <c r="D48" i="3"/>
  <c r="D45" i="3"/>
  <c r="D4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239DCC-D129-4E3A-8860-75A6B3B9BE0E}" name="Lucan Mod20 Current" type="6" refreshedVersion="6" background="1" saveData="1">
    <textPr prompt="0" sourceFile="C:\Users\jklum\OneDrive\Documents\Neverwinter\NWCharBuilderPlus_0.9.0\Lucan Mod20 Current.cbf" delimiter="=">
      <textFields>
        <textField/>
      </textFields>
    </textPr>
  </connection>
  <connection id="2" xr16:uid="{92F61EED-A7AA-430E-BA09-A7A4E45B5288}" name="Lucan Mod20 Current1" type="6" refreshedVersion="6" background="1" saveData="1">
    <textPr prompt="0" sourceFile="C:\Users\jklum\OneDrive\Documents\Neverwinter\NWCharBuilderPlus_0.9.0\Lucan Mod20 Current.cbf" delimiter="=">
      <textFields>
        <textField/>
      </textFields>
    </textPr>
  </connection>
  <connection id="3" xr16:uid="{6BA5E17D-1648-419C-815B-572559F01DE4}" name="Lucan Mod20 Orig" type="6" refreshedVersion="6" background="1" saveData="1">
    <textPr prompt="0" sourceFile="C:\Users\jklum\OneDrive\Documents\Neverwinter\NWCharBuilderPlus_0.9.0\Lucan Mod20 Orig.cbf" delimiter="=">
      <textFields>
        <textField/>
      </textFields>
    </textPr>
  </connection>
  <connection id="4" xr16:uid="{D125DABA-8304-41A6-80EF-923E84119290}" name="Lucan Mod20 v2" type="6" refreshedVersion="6" background="1" saveData="1">
    <textPr prompt="0" sourceFile="C:\Users\jklum\OneDrive\Documents\Neverwinter\NWCharBuilderPlus_0.9.0\Lucan Mod20 v2.cbf" delimiter="=">
      <textFields>
        <textField/>
      </textFields>
    </textPr>
  </connection>
  <connection id="5" xr16:uid="{227948C3-70EE-4951-8996-4791FC916FFB}" name="Lucan Mod20 with Spy Rings" type="6" refreshedVersion="6" background="1" saveData="1">
    <textPr prompt="0" sourceFile="C:\Users\jklum\OneDrive\Documents\Neverwinter\NWCharBuilderPlus_0.9.0\Lucan Mod20 with Spy Rings.cbf" delimiter="=">
      <textFields>
        <textField/>
      </textFields>
    </textPr>
  </connection>
  <connection id="6" xr16:uid="{4188F674-8DD2-4724-86E1-430C328DA9B4}" name="Lucan Mod20 with Spy Rings1" type="6" refreshedVersion="6" background="1" saveData="1">
    <textPr prompt="0" sourceFile="C:\Users\jklum\OneDrive\Documents\Neverwinter\NWCharBuilderPlus_0.9.0\Lucan Mod20 with Spy Rings.cbf" delimiter="=">
      <textFields>
        <textField/>
      </textFields>
    </textPr>
  </connection>
  <connection id="7" xr16:uid="{A46B2513-647D-4C2D-B65C-49CC4F65374A}" name="Lucan Mod20 with Spy Rings2" type="6" refreshedVersion="6" background="1" saveData="1">
    <textPr prompt="0" sourceFile="C:\Users\jklum\OneDrive\Documents\Neverwinter\NWCharBuilderPlus_0.9.0\Lucan Mod20 with Spy Rings.cbf" delimiter="=">
      <textFields>
        <textField/>
      </textFields>
    </textPr>
  </connection>
</connections>
</file>

<file path=xl/sharedStrings.xml><?xml version="1.0" encoding="utf-8"?>
<sst xmlns="http://schemas.openxmlformats.org/spreadsheetml/2006/main" count="1174" uniqueCount="542">
  <si>
    <t>[Main]</t>
  </si>
  <si>
    <t>BuildName</t>
  </si>
  <si>
    <t>DescLine1</t>
  </si>
  <si>
    <t>DescLine2</t>
  </si>
  <si>
    <t>DescLine3</t>
  </si>
  <si>
    <t>DescLine4</t>
  </si>
  <si>
    <t>DescLine5</t>
  </si>
  <si>
    <t>DescLine6</t>
  </si>
  <si>
    <t>DescLine7</t>
  </si>
  <si>
    <t>DescLine8</t>
  </si>
  <si>
    <t>DescLine9</t>
  </si>
  <si>
    <t>DescLine10</t>
  </si>
  <si>
    <t>DescLine11</t>
  </si>
  <si>
    <t>DescLine12</t>
  </si>
  <si>
    <t>DescLine13</t>
  </si>
  <si>
    <t>DescLine14</t>
  </si>
  <si>
    <t>DescLine15</t>
  </si>
  <si>
    <t>DescLine16</t>
  </si>
  <si>
    <t>DescLine17</t>
  </si>
  <si>
    <t>DescLine18</t>
  </si>
  <si>
    <t>[General]</t>
  </si>
  <si>
    <t>Class</t>
  </si>
  <si>
    <t>Wizard</t>
  </si>
  <si>
    <t>Race</t>
  </si>
  <si>
    <t>Sun Elf</t>
  </si>
  <si>
    <t>RaceAttribute1</t>
  </si>
  <si>
    <t>INT</t>
  </si>
  <si>
    <t>RaceAttribute2</t>
  </si>
  <si>
    <t>DEX</t>
  </si>
  <si>
    <t>Lvl10AttrSTR</t>
  </si>
  <si>
    <t>Lvl10AttrCON</t>
  </si>
  <si>
    <t>Lvl10AttrDEX</t>
  </si>
  <si>
    <t>Lvl10AttrINT</t>
  </si>
  <si>
    <t>Lvl10AttrWIS</t>
  </si>
  <si>
    <t>Lvl10AttrCHA</t>
  </si>
  <si>
    <t>Lvl20AttrSTR</t>
  </si>
  <si>
    <t>Lvl20AttrCON</t>
  </si>
  <si>
    <t>Lvl20AttrDEX</t>
  </si>
  <si>
    <t>Lvl20AttrINT</t>
  </si>
  <si>
    <t>Lvl20AttrWIS</t>
  </si>
  <si>
    <t>Lvl20AttrCHA</t>
  </si>
  <si>
    <t>Lvl40AttrSTR</t>
  </si>
  <si>
    <t>Lvl40AttrCON</t>
  </si>
  <si>
    <t>Lvl40AttrDEX</t>
  </si>
  <si>
    <t>Lvl40AttrINT</t>
  </si>
  <si>
    <t>Lvl40AttrWIS</t>
  </si>
  <si>
    <t>Lvl40AttrCHA</t>
  </si>
  <si>
    <t>Lvl50AttrSTR</t>
  </si>
  <si>
    <t>Lvl50AttrCON</t>
  </si>
  <si>
    <t>Lvl50AttrDEX</t>
  </si>
  <si>
    <t>Lvl50AttrINT</t>
  </si>
  <si>
    <t>Lvl50AttrWIS</t>
  </si>
  <si>
    <t>Lvl50AttrCHA</t>
  </si>
  <si>
    <t>Lvl70AttrSTR</t>
  </si>
  <si>
    <t>Lvl70AttrCON</t>
  </si>
  <si>
    <t>Lvl70AttrDEX</t>
  </si>
  <si>
    <t>Lvl70AttrINT</t>
  </si>
  <si>
    <t>Lvl70AttrWIS</t>
  </si>
  <si>
    <t>Lvl70AttrCHA</t>
  </si>
  <si>
    <t>Lvl80AttrSTR</t>
  </si>
  <si>
    <t>Lvl80AttrCON</t>
  </si>
  <si>
    <t>Lvl80AttrDEX</t>
  </si>
  <si>
    <t>Lvl80AttrINT</t>
  </si>
  <si>
    <t>Lvl80AttrWIS</t>
  </si>
  <si>
    <t>Lvl80AttrCHA</t>
  </si>
  <si>
    <t>[Gear]</t>
  </si>
  <si>
    <t>HeadItem</t>
  </si>
  <si>
    <t>Divine Raid Hood</t>
  </si>
  <si>
    <t>HeadEnch1Type</t>
  </si>
  <si>
    <t>Dark</t>
  </si>
  <si>
    <t>HeadEnch1Rank</t>
  </si>
  <si>
    <t>HeadEnch2Type</t>
  </si>
  <si>
    <t>HeadEnch2Rank</t>
  </si>
  <si>
    <t>HeadEnch3Type</t>
  </si>
  <si>
    <t>HeadEnch3Rank</t>
  </si>
  <si>
    <t>ArmorItem</t>
  </si>
  <si>
    <t>Ebony Stained Robes</t>
  </si>
  <si>
    <t>ArmorEnch1Type</t>
  </si>
  <si>
    <t>Radiant</t>
  </si>
  <si>
    <t>ArmorEnch1Rank</t>
  </si>
  <si>
    <t>ArmorEnch2Type</t>
  </si>
  <si>
    <t>Barkshield</t>
  </si>
  <si>
    <t>ArmorEnch2Rank</t>
  </si>
  <si>
    <t>ArmorEnch3Type</t>
  </si>
  <si>
    <t>ArmorEnch3Rank</t>
  </si>
  <si>
    <t>ArmsItem</t>
  </si>
  <si>
    <t>Lion Guard's Raid Armlets</t>
  </si>
  <si>
    <t>ArmsEnch1Type</t>
  </si>
  <si>
    <t>ArmsEnch1Rank</t>
  </si>
  <si>
    <t>ArmsEnch2Type</t>
  </si>
  <si>
    <t>ArmsEnch2Rank</t>
  </si>
  <si>
    <t>ArmsEnch3Type</t>
  </si>
  <si>
    <t>ArmsEnch3Rank</t>
  </si>
  <si>
    <t>MainhandItem</t>
  </si>
  <si>
    <t>Crystal Orb of the Blessed Blade</t>
  </si>
  <si>
    <t>MainhandEnch1Type</t>
  </si>
  <si>
    <t>MainhandEnch1Rank</t>
  </si>
  <si>
    <t>MainhandEnch2Type</t>
  </si>
  <si>
    <t>Bilethorn</t>
  </si>
  <si>
    <t>MainhandEnch2Rank</t>
  </si>
  <si>
    <t>MainhandEnch3Type</t>
  </si>
  <si>
    <t>Tenebrous</t>
  </si>
  <si>
    <t>MainhandEnch3Rank</t>
  </si>
  <si>
    <t>OffhandItem</t>
  </si>
  <si>
    <t>Good Luck of the Blessed Blade</t>
  </si>
  <si>
    <t>OffhandEnch1Type</t>
  </si>
  <si>
    <t>OffhandEnch1Rank</t>
  </si>
  <si>
    <t>OffhandEnch2Type</t>
  </si>
  <si>
    <t>Brutal</t>
  </si>
  <si>
    <t>OffhandEnch2Rank</t>
  </si>
  <si>
    <t>OffhandEnch3Type</t>
  </si>
  <si>
    <t>OffhandEnch3Rank</t>
  </si>
  <si>
    <t>FeetItem</t>
  </si>
  <si>
    <t>Rusted Iron Leggings</t>
  </si>
  <si>
    <t>FeetEnch1Type</t>
  </si>
  <si>
    <t>FeetEnch1Rank</t>
  </si>
  <si>
    <t>FeetEnch2Type</t>
  </si>
  <si>
    <t>FeetEnch2Rank</t>
  </si>
  <si>
    <t>FeetEnch3Type</t>
  </si>
  <si>
    <t>FeetEnch3Rank</t>
  </si>
  <si>
    <t>NeckItem</t>
  </si>
  <si>
    <t>Necklace of the Mad Mage</t>
  </si>
  <si>
    <t>NeckEnch1Type</t>
  </si>
  <si>
    <t>NeckEnch1Rank</t>
  </si>
  <si>
    <t>NeckEnch2Type</t>
  </si>
  <si>
    <t>NeckEnch2Rank</t>
  </si>
  <si>
    <t>NeckEnch3Type</t>
  </si>
  <si>
    <t>NeckEnch3Rank</t>
  </si>
  <si>
    <t>LRingItem</t>
  </si>
  <si>
    <t>Leading Ring of the Teacher</t>
  </si>
  <si>
    <t>LRingEnch1Type</t>
  </si>
  <si>
    <t>LRingEnch1Rank</t>
  </si>
  <si>
    <t>LRingEnch2Type</t>
  </si>
  <si>
    <t>LRingEnch2Rank</t>
  </si>
  <si>
    <t>LRingEnch3Type</t>
  </si>
  <si>
    <t>LRingEnch3Rank</t>
  </si>
  <si>
    <t>RRingItem</t>
  </si>
  <si>
    <t>Guiding Ring of the Spy</t>
  </si>
  <si>
    <t>RRingEnch1Type</t>
  </si>
  <si>
    <t>RRingEnch1Rank</t>
  </si>
  <si>
    <t>RRingEnch2Type</t>
  </si>
  <si>
    <t>RRingEnch2Rank</t>
  </si>
  <si>
    <t>RRingEnch3Type</t>
  </si>
  <si>
    <t>RRingEnch3Rank</t>
  </si>
  <si>
    <t>WaistItem</t>
  </si>
  <si>
    <t>Belt of the Mad Mage</t>
  </si>
  <si>
    <t>WaistEnch1Type</t>
  </si>
  <si>
    <t>WaistEnch1Rank</t>
  </si>
  <si>
    <t>WaistEnch2Type</t>
  </si>
  <si>
    <t>WaistEnch2Rank</t>
  </si>
  <si>
    <t>WaistEnch3Type</t>
  </si>
  <si>
    <t>WaistEnch3Rank</t>
  </si>
  <si>
    <t>ShirtItem</t>
  </si>
  <si>
    <t>ShirtEnch1Type</t>
  </si>
  <si>
    <t>ShirtEnch1Rank</t>
  </si>
  <si>
    <t>ShirtEnch2Type</t>
  </si>
  <si>
    <t>ShirtEnch2Rank</t>
  </si>
  <si>
    <t>ShirtEnch3Type</t>
  </si>
  <si>
    <t>ShirtEnch3Rank</t>
  </si>
  <si>
    <t>TrousersItem</t>
  </si>
  <si>
    <t>TrousersEnch1Type</t>
  </si>
  <si>
    <t>TrousersEnch1Rank</t>
  </si>
  <si>
    <t>TrousersEnch2Type</t>
  </si>
  <si>
    <t>TrousersEnch2Rank</t>
  </si>
  <si>
    <t>TrousersEnch3Type</t>
  </si>
  <si>
    <t>TrousersEnch3Rank</t>
  </si>
  <si>
    <t>ArmorKit1Type</t>
  </si>
  <si>
    <t>ArmorKit1Rank</t>
  </si>
  <si>
    <t>ArmorKit2Type</t>
  </si>
  <si>
    <t>ArmorKit2Rank</t>
  </si>
  <si>
    <t>ArmorKit3Type</t>
  </si>
  <si>
    <t>ArmorKit3Rank</t>
  </si>
  <si>
    <t>ArmorKit4Type</t>
  </si>
  <si>
    <t>ArmorKit4Rank</t>
  </si>
  <si>
    <t>ArmorKit5Type</t>
  </si>
  <si>
    <t>ArmorKit5Rank</t>
  </si>
  <si>
    <t>ArmorKit6Type</t>
  </si>
  <si>
    <t>ArmorKit6Rank</t>
  </si>
  <si>
    <t>ArmorKit7Type</t>
  </si>
  <si>
    <t>Combat Advantage</t>
  </si>
  <si>
    <t>ArmorKit7Rank</t>
  </si>
  <si>
    <t>ArmorKit8Type</t>
  </si>
  <si>
    <t>ArmorKit8Rank</t>
  </si>
  <si>
    <t>ArmorKit9Type</t>
  </si>
  <si>
    <t>ArmorKit9Rank</t>
  </si>
  <si>
    <t>ArmorKit10Type</t>
  </si>
  <si>
    <t>ArmorKit10Rank</t>
  </si>
  <si>
    <t>ArmorKit11Type</t>
  </si>
  <si>
    <t>ArmorKit11Rank</t>
  </si>
  <si>
    <t>ArmorKit12Type</t>
  </si>
  <si>
    <t>ArmorKit12Rank</t>
  </si>
  <si>
    <t>ClassFeature</t>
  </si>
  <si>
    <t>ArtifactModification</t>
  </si>
  <si>
    <t>ArtifactModificationValue</t>
  </si>
  <si>
    <t>PrimaryArtifact</t>
  </si>
  <si>
    <t>Envenomed Storyteller's Journal</t>
  </si>
  <si>
    <t>Artifact2</t>
  </si>
  <si>
    <t>Halaster's Blast Scepter</t>
  </si>
  <si>
    <t>Artifact3</t>
  </si>
  <si>
    <t>Frozen Storyteller's Journal</t>
  </si>
  <si>
    <t>Artifact4</t>
  </si>
  <si>
    <t>Darkened Storyteller's Journal</t>
  </si>
  <si>
    <t>[Boons]</t>
  </si>
  <si>
    <t>BoonNr1</t>
  </si>
  <si>
    <t>BoonNr2</t>
  </si>
  <si>
    <t>BoonNr3</t>
  </si>
  <si>
    <t>BoonNr4</t>
  </si>
  <si>
    <t>BoonNr5</t>
  </si>
  <si>
    <t>BoonNr6</t>
  </si>
  <si>
    <t>BoonNr7</t>
  </si>
  <si>
    <t>BoonNr8</t>
  </si>
  <si>
    <t>BoonNr9</t>
  </si>
  <si>
    <t>BoonNr10</t>
  </si>
  <si>
    <t>BoonNr11</t>
  </si>
  <si>
    <t>BoonNr12</t>
  </si>
  <si>
    <t>BoonNr13</t>
  </si>
  <si>
    <t>BoonNr14</t>
  </si>
  <si>
    <t>BoonNr15</t>
  </si>
  <si>
    <t>BoonNr16</t>
  </si>
  <si>
    <t>BoonNr17</t>
  </si>
  <si>
    <t>BoonNr18</t>
  </si>
  <si>
    <t>BoonNr19</t>
  </si>
  <si>
    <t>BoonNr20</t>
  </si>
  <si>
    <t>BoonNr21</t>
  </si>
  <si>
    <t>BoonNr22</t>
  </si>
  <si>
    <t>BoonNr23</t>
  </si>
  <si>
    <t>BoonNr24</t>
  </si>
  <si>
    <t>BoonNr25</t>
  </si>
  <si>
    <t>BoonNr26</t>
  </si>
  <si>
    <t>BoonNr27</t>
  </si>
  <si>
    <t>BoonNr28</t>
  </si>
  <si>
    <t>BoonNr29</t>
  </si>
  <si>
    <t>BoonNr30</t>
  </si>
  <si>
    <t>BoonNr31</t>
  </si>
  <si>
    <t>BoonNr32</t>
  </si>
  <si>
    <t>BoonNr33</t>
  </si>
  <si>
    <t>BoonNr34</t>
  </si>
  <si>
    <t>BoonNr35</t>
  </si>
  <si>
    <t>BoonNr36</t>
  </si>
  <si>
    <t>BoonNr37</t>
  </si>
  <si>
    <t>BoonNr38</t>
  </si>
  <si>
    <t>BoonNr39</t>
  </si>
  <si>
    <t>BoonNr40</t>
  </si>
  <si>
    <t>BoonNr41</t>
  </si>
  <si>
    <t>BoonNr42</t>
  </si>
  <si>
    <t>GuildBoonOffense</t>
  </si>
  <si>
    <t>GuildBoonDefense</t>
  </si>
  <si>
    <t>Hit Points Bonus</t>
  </si>
  <si>
    <t>GuildBoonUtility</t>
  </si>
  <si>
    <t>Mount Speed Bonus</t>
  </si>
  <si>
    <t>[Mounts]</t>
  </si>
  <si>
    <t>Mount1</t>
  </si>
  <si>
    <t>Purple Owlbear</t>
  </si>
  <si>
    <t>Mount1Insig1Type</t>
  </si>
  <si>
    <t>Dominance</t>
  </si>
  <si>
    <t>Mount1Insig1Quality</t>
  </si>
  <si>
    <t>Legendary</t>
  </si>
  <si>
    <t>Mount1Insig1Name</t>
  </si>
  <si>
    <t>Regal</t>
  </si>
  <si>
    <t>Mount1Insig2Type</t>
  </si>
  <si>
    <t>Mount1Insig2Quality</t>
  </si>
  <si>
    <t>Mount1Insig2Name</t>
  </si>
  <si>
    <t>Mount1Insig3Type</t>
  </si>
  <si>
    <t>Mount1Insig3Quality</t>
  </si>
  <si>
    <t>Mount1Insig3Name</t>
  </si>
  <si>
    <t>Illuminated</t>
  </si>
  <si>
    <t>Mount2</t>
  </si>
  <si>
    <t>Swarm</t>
  </si>
  <si>
    <t>Mount2Insig1Type</t>
  </si>
  <si>
    <t>Mount2Insig1Quality</t>
  </si>
  <si>
    <t>Mount2Insig1Name</t>
  </si>
  <si>
    <t>Mount2Insig2Type</t>
  </si>
  <si>
    <t>Brutality</t>
  </si>
  <si>
    <t>Mount2Insig2Quality</t>
  </si>
  <si>
    <t>Mount2Insig2Name</t>
  </si>
  <si>
    <t>Enlightened</t>
  </si>
  <si>
    <t>Mount2Insig3Type</t>
  </si>
  <si>
    <t>Mount2Insig3Quality</t>
  </si>
  <si>
    <t>Mount2Insig3Name</t>
  </si>
  <si>
    <t>Mount3</t>
  </si>
  <si>
    <t>Adolescent Deep Crow</t>
  </si>
  <si>
    <t>Mount3Insig1Type</t>
  </si>
  <si>
    <t>Mount3Insig1Quality</t>
  </si>
  <si>
    <t>Mount3Insig1Name</t>
  </si>
  <si>
    <t>Mount3Insig2Type</t>
  </si>
  <si>
    <t>Mount3Insig2Quality</t>
  </si>
  <si>
    <t>Mount3Insig2Name</t>
  </si>
  <si>
    <t>Crescent</t>
  </si>
  <si>
    <t>Mount3Insig3Type</t>
  </si>
  <si>
    <t>Mount3Insig3Quality</t>
  </si>
  <si>
    <t>Mount3Insig3Name</t>
  </si>
  <si>
    <t>Mount4</t>
  </si>
  <si>
    <t>King of Spines - Account</t>
  </si>
  <si>
    <t>Mount4Insig1Type</t>
  </si>
  <si>
    <t>Mount4Insig1Quality</t>
  </si>
  <si>
    <t>Mount4Insig1Name</t>
  </si>
  <si>
    <t>Mount4Insig2Type</t>
  </si>
  <si>
    <t>Mount4Insig2Quality</t>
  </si>
  <si>
    <t>Mount4Insig2Name</t>
  </si>
  <si>
    <t>Mount4Insig3Type</t>
  </si>
  <si>
    <t>Mount4Insig3Quality</t>
  </si>
  <si>
    <t>Mount4Insig3Name</t>
  </si>
  <si>
    <t>Mount5</t>
  </si>
  <si>
    <t>Arcane Whirlwind</t>
  </si>
  <si>
    <t>Mount5Insig1Type</t>
  </si>
  <si>
    <t>Mount5Insig1Quality</t>
  </si>
  <si>
    <t>Mount5Insig1Name</t>
  </si>
  <si>
    <t>Barbed</t>
  </si>
  <si>
    <t>Mount5Insig2Type</t>
  </si>
  <si>
    <t>Mount5Insig2Quality</t>
  </si>
  <si>
    <t>Mount5Insig2Name</t>
  </si>
  <si>
    <t>Mount5Insig3Type</t>
  </si>
  <si>
    <t>Mount5Insig3Quality</t>
  </si>
  <si>
    <t>Mount5Insig3Name</t>
  </si>
  <si>
    <t>MountMythicCount</t>
  </si>
  <si>
    <t>MountLegendaryCount</t>
  </si>
  <si>
    <t>MountEpicCount</t>
  </si>
  <si>
    <t>MountRareCount</t>
  </si>
  <si>
    <t>MountUncommonCount</t>
  </si>
  <si>
    <t>MountCommonCount</t>
  </si>
  <si>
    <t>MountCombatPower</t>
  </si>
  <si>
    <t>Tunnel Vision</t>
  </si>
  <si>
    <t>MountEquipPower</t>
  </si>
  <si>
    <t>MountEquipPowerQuality</t>
  </si>
  <si>
    <t>MountCombatPowerQuality</t>
  </si>
  <si>
    <t>CollarPractical</t>
  </si>
  <si>
    <t>CollarSturdy</t>
  </si>
  <si>
    <t>Sturdy Crescent Collar III</t>
  </si>
  <si>
    <t>CollarSupportive</t>
  </si>
  <si>
    <t>CollarUnified</t>
  </si>
  <si>
    <t>CollarWayfaring</t>
  </si>
  <si>
    <t>Wayfaring Barbed Collar III</t>
  </si>
  <si>
    <t>[Companions]</t>
  </si>
  <si>
    <t>ActiveCompanion</t>
  </si>
  <si>
    <t>ActiveCompanionQuality</t>
  </si>
  <si>
    <t>CompanionEnhancementPower</t>
  </si>
  <si>
    <t>CompanionMythicCount</t>
  </si>
  <si>
    <t>CompanionLegendaryCount</t>
  </si>
  <si>
    <t>CompanionEpicCount</t>
  </si>
  <si>
    <t>CompanionRareCount</t>
  </si>
  <si>
    <t>CompanionUncommonCount</t>
  </si>
  <si>
    <t>CompanionCommonCount</t>
  </si>
  <si>
    <t>CompanionGear1</t>
  </si>
  <si>
    <t>Spiked Belt of the Companion</t>
  </si>
  <si>
    <t>CompanionGear1Slot1Type</t>
  </si>
  <si>
    <t>CompanionGear1Slot1Rank</t>
  </si>
  <si>
    <t>CompanionGear1Slot2Type</t>
  </si>
  <si>
    <t>Profane</t>
  </si>
  <si>
    <t>CompanionGear1Slot2Rank</t>
  </si>
  <si>
    <t>CompanionGear2</t>
  </si>
  <si>
    <t>Gold-leafed Grimoire of the Companion</t>
  </si>
  <si>
    <t>CompanionGear2Slot1Type</t>
  </si>
  <si>
    <t>CompanionGear2Slot1Rank</t>
  </si>
  <si>
    <t>CompanionGear2Slot2Type</t>
  </si>
  <si>
    <t>CompanionGear2Slot2Rank</t>
  </si>
  <si>
    <t>CompanionGear3</t>
  </si>
  <si>
    <t>CompanionGear3Slot1Type</t>
  </si>
  <si>
    <t>CompanionGear3Slot1Rank</t>
  </si>
  <si>
    <t>CompanionGear3Slot2Type</t>
  </si>
  <si>
    <t>CompanionGear3Slot2Rank</t>
  </si>
  <si>
    <t>CompanionEquipPowerType1</t>
  </si>
  <si>
    <t>CompanionEquipPowerQuality1</t>
  </si>
  <si>
    <t>CompanionEquipPowerType2</t>
  </si>
  <si>
    <t>CompanionEquipPowerQuality2</t>
  </si>
  <si>
    <t>CompanionEquipPowerType3</t>
  </si>
  <si>
    <t>CompanionEquipPowerQuality3</t>
  </si>
  <si>
    <t>CompanionEquipPowerType4</t>
  </si>
  <si>
    <t>Baby Deepcrow's Presence</t>
  </si>
  <si>
    <t>CompanionEquipPowerQuality4</t>
  </si>
  <si>
    <t>CompanionEquipPowerType5</t>
  </si>
  <si>
    <t>CompanionEquipPowerQuality5</t>
  </si>
  <si>
    <t>[Feats]</t>
  </si>
  <si>
    <t>Paragon</t>
  </si>
  <si>
    <t>Arcanist</t>
  </si>
  <si>
    <t>Feat1</t>
  </si>
  <si>
    <t>Spell Twisting</t>
  </si>
  <si>
    <t>Feat2</t>
  </si>
  <si>
    <t>Snap Freeze</t>
  </si>
  <si>
    <t>Feat3</t>
  </si>
  <si>
    <t>Chaos Magic</t>
  </si>
  <si>
    <t>Feat4</t>
  </si>
  <si>
    <t>Nightmare Wizardry</t>
  </si>
  <si>
    <t>Feat5</t>
  </si>
  <si>
    <t>A Step Above Mastery</t>
  </si>
  <si>
    <t>[Buffs]</t>
  </si>
  <si>
    <t>Campfire</t>
  </si>
  <si>
    <t>Yes</t>
  </si>
  <si>
    <t>VIPrank</t>
  </si>
  <si>
    <t>InvocationBlessing</t>
  </si>
  <si>
    <t>None</t>
  </si>
  <si>
    <t>StrongHold</t>
  </si>
  <si>
    <t>Elixir</t>
  </si>
  <si>
    <t>Potions</t>
  </si>
  <si>
    <t>PotionRank</t>
  </si>
  <si>
    <t>Rank 10</t>
  </si>
  <si>
    <t>PotionQuality</t>
  </si>
  <si>
    <t>EventFood</t>
  </si>
  <si>
    <t>[CombatSim]</t>
  </si>
  <si>
    <t>Hitpoints</t>
  </si>
  <si>
    <t>ActionPoints</t>
  </si>
  <si>
    <t>Stamina</t>
  </si>
  <si>
    <t>Divinity</t>
  </si>
  <si>
    <t>InParty</t>
  </si>
  <si>
    <t>PartySize</t>
  </si>
  <si>
    <t>NrVIP</t>
  </si>
  <si>
    <t>NrRaptor</t>
  </si>
  <si>
    <t>FeralRaptor</t>
  </si>
  <si>
    <t>InCombat</t>
  </si>
  <si>
    <t>NrEnemies</t>
  </si>
  <si>
    <t>TimeInCombat</t>
  </si>
  <si>
    <t>TargetDistance</t>
  </si>
  <si>
    <t>EnemyHp</t>
  </si>
  <si>
    <t>EnemiesKilled</t>
  </si>
  <si>
    <t>BigHits</t>
  </si>
  <si>
    <t>RunicAuraInParty</t>
  </si>
  <si>
    <t>RunicAuraBolster</t>
  </si>
  <si>
    <t>RunicAuraQuality</t>
  </si>
  <si>
    <t>CombatAdvUptime</t>
  </si>
  <si>
    <t>ProcCompEnhancement</t>
  </si>
  <si>
    <t>ControlEnemy</t>
  </si>
  <si>
    <t>ControlEnemyTimeSince</t>
  </si>
  <si>
    <t>ReceivedDmg</t>
  </si>
  <si>
    <t>ReceivedDmgPerc</t>
  </si>
  <si>
    <t>ReceivedDmgTimeSince</t>
  </si>
  <si>
    <t>ReceivedDmgCrit</t>
  </si>
  <si>
    <t>ReceivedDmgDeflected</t>
  </si>
  <si>
    <t>ReceivedDmgCombatAdvantage</t>
  </si>
  <si>
    <t>DmgType</t>
  </si>
  <si>
    <t>RangerStance</t>
  </si>
  <si>
    <t>BarbRage</t>
  </si>
  <si>
    <t>ClerRadiantStacks</t>
  </si>
  <si>
    <t>ClerBurningStacks</t>
  </si>
  <si>
    <t>DigIn</t>
  </si>
  <si>
    <t>Vengeance</t>
  </si>
  <si>
    <t>[Powers]</t>
  </si>
  <si>
    <t>AtWill1</t>
  </si>
  <si>
    <t>AtWill2</t>
  </si>
  <si>
    <t>Encounter1</t>
  </si>
  <si>
    <t>Encounter2</t>
  </si>
  <si>
    <t>Encounter3</t>
  </si>
  <si>
    <t>EncounterSpecial</t>
  </si>
  <si>
    <t>Daily1</t>
  </si>
  <si>
    <t>Daily2</t>
  </si>
  <si>
    <t>ClassFeat1</t>
  </si>
  <si>
    <t>ClassFeat2</t>
  </si>
  <si>
    <t>CHA</t>
  </si>
  <si>
    <t>Assassin's</t>
  </si>
  <si>
    <t>Silvery</t>
  </si>
  <si>
    <t>Azure</t>
  </si>
  <si>
    <t>Ebony Stained Ward Shirt</t>
  </si>
  <si>
    <t>Infernal Forged Restoration Trousers</t>
  </si>
  <si>
    <t>Accuracy</t>
  </si>
  <si>
    <t>Critical Strike</t>
  </si>
  <si>
    <t>Defense</t>
  </si>
  <si>
    <t>Forte</t>
  </si>
  <si>
    <t>Critical Strike Bonus</t>
  </si>
  <si>
    <t>Skill</t>
  </si>
  <si>
    <t>Indestructible</t>
  </si>
  <si>
    <t>Owlbear Cub</t>
  </si>
  <si>
    <t>Mythic</t>
  </si>
  <si>
    <t>Acute Senses</t>
  </si>
  <si>
    <t>Recondite</t>
  </si>
  <si>
    <t>Gold Icon of the Companion</t>
  </si>
  <si>
    <t>Ivy Grown Icon of the Companion</t>
  </si>
  <si>
    <t>Entertainer's Discipline</t>
  </si>
  <si>
    <t>Man-at-Arms's Discipline</t>
  </si>
  <si>
    <t>Alchemist's Discipline</t>
  </si>
  <si>
    <t>Staldorf's Presence</t>
  </si>
  <si>
    <t>Superior Flask of Potency +1</t>
  </si>
  <si>
    <t>Build Compare</t>
  </si>
  <si>
    <t>Target Build</t>
  </si>
  <si>
    <t>Attribute 1</t>
  </si>
  <si>
    <t>Attribute 2</t>
  </si>
  <si>
    <t>Base Attributes</t>
  </si>
  <si>
    <t>Current Build</t>
  </si>
  <si>
    <t>STR</t>
  </si>
  <si>
    <t>CON</t>
  </si>
  <si>
    <t>WIS</t>
  </si>
  <si>
    <t>Gear</t>
  </si>
  <si>
    <t>Head</t>
  </si>
  <si>
    <t>Enchantment</t>
  </si>
  <si>
    <t>Armor</t>
  </si>
  <si>
    <t>Armor Enchantment</t>
  </si>
  <si>
    <t>Arms</t>
  </si>
  <si>
    <t>Main Hand</t>
  </si>
  <si>
    <t>Weapon Enchantment</t>
  </si>
  <si>
    <t>Off Hand</t>
  </si>
  <si>
    <t>Feet</t>
  </si>
  <si>
    <t>Neck</t>
  </si>
  <si>
    <t>Left Ring</t>
  </si>
  <si>
    <t>Right Ring</t>
  </si>
  <si>
    <t>Waist</t>
  </si>
  <si>
    <t>Shirt</t>
  </si>
  <si>
    <t>Trousers</t>
  </si>
  <si>
    <t>Armor Kit</t>
  </si>
  <si>
    <t>Class Feature</t>
  </si>
  <si>
    <t>Artifact Modification</t>
  </si>
  <si>
    <t>Artifact (Primary)</t>
  </si>
  <si>
    <t>Artifact</t>
  </si>
  <si>
    <t>Differences</t>
  </si>
  <si>
    <t>Comments</t>
  </si>
  <si>
    <t>Priority</t>
  </si>
  <si>
    <t>Tactical</t>
  </si>
  <si>
    <t>Companions</t>
  </si>
  <si>
    <t>Gear Slot 1</t>
  </si>
  <si>
    <t>Runestone 1</t>
  </si>
  <si>
    <t>Runestone 2</t>
  </si>
  <si>
    <t>Gear Slot 2</t>
  </si>
  <si>
    <t>Gear Slot 3</t>
  </si>
  <si>
    <t>Companion Active</t>
  </si>
  <si>
    <t>Enhancement Power</t>
  </si>
  <si>
    <t>Utility</t>
  </si>
  <si>
    <t>Universal 1</t>
  </si>
  <si>
    <t>Universal 2</t>
  </si>
  <si>
    <t>Offense</t>
  </si>
  <si>
    <t>Mounts</t>
  </si>
  <si>
    <t>Combat Power</t>
  </si>
  <si>
    <t>Equip Power</t>
  </si>
  <si>
    <t>Mount 1</t>
  </si>
  <si>
    <t>Insignia 1</t>
  </si>
  <si>
    <t>Insignia 2</t>
  </si>
  <si>
    <t>Insignia 3</t>
  </si>
  <si>
    <t>Mount 2</t>
  </si>
  <si>
    <t>Mount 3</t>
  </si>
  <si>
    <t>Mount 4</t>
  </si>
  <si>
    <t>Mount 5</t>
  </si>
  <si>
    <t>AP Gain</t>
  </si>
  <si>
    <t>Polar Siege Bear - Account</t>
  </si>
  <si>
    <t>Aggression</t>
  </si>
  <si>
    <t>Epic</t>
  </si>
  <si>
    <t>Flamesprite's Insight</t>
  </si>
  <si>
    <t>Baby Owlbear's Presence</t>
  </si>
  <si>
    <t>Lucan Mod20 with Spy Rings</t>
  </si>
  <si>
    <t>Gigantic</t>
  </si>
  <si>
    <t>Velvet Pants +1</t>
  </si>
  <si>
    <t>Awareness Bonus</t>
  </si>
  <si>
    <t>Wolf of the Wild Hunt</t>
  </si>
  <si>
    <t>Courage</t>
  </si>
  <si>
    <t>Imperial Diamond Belt of the Companion</t>
  </si>
  <si>
    <t>Lucan Mod20 v2</t>
  </si>
  <si>
    <t>Can only be changed through race re-roll</t>
  </si>
  <si>
    <t>Artifacts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</si>
</sst>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19050</xdr:rowOff>
        </xdr:from>
        <xdr:to>
          <xdr:col>2</xdr:col>
          <xdr:colOff>2197100</xdr:colOff>
          <xdr:row>1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Current 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2</xdr:row>
          <xdr:rowOff>25400</xdr:rowOff>
        </xdr:from>
        <xdr:to>
          <xdr:col>2</xdr:col>
          <xdr:colOff>2190750</xdr:colOff>
          <xdr:row>2</xdr:row>
          <xdr:rowOff>254000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Target Build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E152E61A-74E6-44ED-8AF1-2D0E6F3A8D9E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0BE3D02-B45B-4801-94A1-EBE59E1D52C4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CAE0E43-901F-4523-AF6E-B6C219D1CE94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41FC9A33-D1D6-4463-A223-32DBA0D1E626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1DE5D713-9365-48C8-A8EC-11F1BB86A66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3DD1A0E1-1A68-4232-80AC-4DDC24764714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B0598DA1-1B28-4E0C-A4B7-BBF5EC40E90E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queryTable" Target="../queryTables/query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FA350-A66E-429D-B177-1D7B062C077A}">
  <sheetPr codeName="Sheet1"/>
  <dimension ref="A1:B389"/>
  <sheetViews>
    <sheetView workbookViewId="0">
      <selection activeCell="A281" sqref="A281"/>
    </sheetView>
  </sheetViews>
  <sheetFormatPr defaultRowHeight="14.5" x14ac:dyDescent="0.35"/>
  <cols>
    <col min="1" max="1" width="27.7265625" bestFit="1" customWidth="1"/>
    <col min="2" max="2" width="35.453125" bestFit="1" customWidth="1"/>
  </cols>
  <sheetData>
    <row r="1" spans="1:2" x14ac:dyDescent="0.35">
      <c r="A1" t="s">
        <v>0</v>
      </c>
    </row>
    <row r="2" spans="1:2" x14ac:dyDescent="0.35">
      <c r="A2" t="s">
        <v>1</v>
      </c>
      <c r="B2" t="s">
        <v>532</v>
      </c>
    </row>
    <row r="3" spans="1:2" x14ac:dyDescent="0.35">
      <c r="A3" t="s">
        <v>2</v>
      </c>
    </row>
    <row r="4" spans="1:2" x14ac:dyDescent="0.35">
      <c r="A4" t="s">
        <v>3</v>
      </c>
    </row>
    <row r="5" spans="1:2" x14ac:dyDescent="0.35">
      <c r="A5" t="s">
        <v>4</v>
      </c>
    </row>
    <row r="6" spans="1:2" x14ac:dyDescent="0.35">
      <c r="A6" t="s">
        <v>5</v>
      </c>
    </row>
    <row r="7" spans="1:2" x14ac:dyDescent="0.35">
      <c r="A7" t="s">
        <v>6</v>
      </c>
    </row>
    <row r="8" spans="1:2" x14ac:dyDescent="0.35">
      <c r="A8" t="s">
        <v>7</v>
      </c>
    </row>
    <row r="9" spans="1:2" x14ac:dyDescent="0.35">
      <c r="A9" t="s">
        <v>8</v>
      </c>
    </row>
    <row r="10" spans="1:2" x14ac:dyDescent="0.35">
      <c r="A10" t="s">
        <v>9</v>
      </c>
    </row>
    <row r="11" spans="1:2" x14ac:dyDescent="0.35">
      <c r="A11" t="s">
        <v>10</v>
      </c>
    </row>
    <row r="12" spans="1:2" x14ac:dyDescent="0.35">
      <c r="A12" t="s">
        <v>11</v>
      </c>
    </row>
    <row r="13" spans="1:2" x14ac:dyDescent="0.35">
      <c r="A13" t="s">
        <v>12</v>
      </c>
    </row>
    <row r="14" spans="1:2" x14ac:dyDescent="0.35">
      <c r="A14" t="s">
        <v>13</v>
      </c>
    </row>
    <row r="15" spans="1:2" x14ac:dyDescent="0.35">
      <c r="A15" t="s">
        <v>14</v>
      </c>
    </row>
    <row r="16" spans="1:2" x14ac:dyDescent="0.35">
      <c r="A16" t="s">
        <v>15</v>
      </c>
    </row>
    <row r="17" spans="1:2" x14ac:dyDescent="0.35">
      <c r="A17" t="s">
        <v>16</v>
      </c>
    </row>
    <row r="18" spans="1:2" x14ac:dyDescent="0.35">
      <c r="A18" t="s">
        <v>17</v>
      </c>
    </row>
    <row r="19" spans="1:2" x14ac:dyDescent="0.35">
      <c r="A19" t="s">
        <v>18</v>
      </c>
    </row>
    <row r="20" spans="1:2" x14ac:dyDescent="0.35">
      <c r="A20" t="s">
        <v>19</v>
      </c>
    </row>
    <row r="21" spans="1:2" x14ac:dyDescent="0.35">
      <c r="A21" t="s">
        <v>20</v>
      </c>
    </row>
    <row r="22" spans="1:2" x14ac:dyDescent="0.35">
      <c r="A22" t="s">
        <v>21</v>
      </c>
      <c r="B22" t="s">
        <v>22</v>
      </c>
    </row>
    <row r="23" spans="1:2" x14ac:dyDescent="0.35">
      <c r="A23" t="s">
        <v>23</v>
      </c>
      <c r="B23" t="s">
        <v>24</v>
      </c>
    </row>
    <row r="24" spans="1:2" x14ac:dyDescent="0.35">
      <c r="A24" t="s">
        <v>25</v>
      </c>
      <c r="B24" t="s">
        <v>26</v>
      </c>
    </row>
    <row r="25" spans="1:2" x14ac:dyDescent="0.35">
      <c r="A25" t="s">
        <v>27</v>
      </c>
      <c r="B25" t="s">
        <v>28</v>
      </c>
    </row>
    <row r="26" spans="1:2" x14ac:dyDescent="0.35">
      <c r="A26" t="s">
        <v>29</v>
      </c>
      <c r="B26">
        <v>0</v>
      </c>
    </row>
    <row r="27" spans="1:2" x14ac:dyDescent="0.35">
      <c r="A27" t="s">
        <v>30</v>
      </c>
      <c r="B27">
        <v>0</v>
      </c>
    </row>
    <row r="28" spans="1:2" x14ac:dyDescent="0.35">
      <c r="A28" t="s">
        <v>31</v>
      </c>
      <c r="B28">
        <v>0</v>
      </c>
    </row>
    <row r="29" spans="1:2" x14ac:dyDescent="0.35">
      <c r="A29" t="s">
        <v>32</v>
      </c>
      <c r="B29">
        <v>1</v>
      </c>
    </row>
    <row r="30" spans="1:2" x14ac:dyDescent="0.35">
      <c r="A30" t="s">
        <v>33</v>
      </c>
      <c r="B30">
        <v>0</v>
      </c>
    </row>
    <row r="31" spans="1:2" x14ac:dyDescent="0.35">
      <c r="A31" t="s">
        <v>34</v>
      </c>
      <c r="B31">
        <v>1</v>
      </c>
    </row>
    <row r="32" spans="1:2" x14ac:dyDescent="0.35">
      <c r="A32" t="s">
        <v>35</v>
      </c>
      <c r="B32">
        <v>0</v>
      </c>
    </row>
    <row r="33" spans="1:2" x14ac:dyDescent="0.35">
      <c r="A33" t="s">
        <v>36</v>
      </c>
      <c r="B33">
        <v>0</v>
      </c>
    </row>
    <row r="34" spans="1:2" x14ac:dyDescent="0.35">
      <c r="A34" t="s">
        <v>37</v>
      </c>
      <c r="B34">
        <v>0</v>
      </c>
    </row>
    <row r="35" spans="1:2" x14ac:dyDescent="0.35">
      <c r="A35" t="s">
        <v>38</v>
      </c>
      <c r="B35">
        <v>1</v>
      </c>
    </row>
    <row r="36" spans="1:2" x14ac:dyDescent="0.35">
      <c r="A36" t="s">
        <v>39</v>
      </c>
      <c r="B36">
        <v>0</v>
      </c>
    </row>
    <row r="37" spans="1:2" x14ac:dyDescent="0.35">
      <c r="A37" t="s">
        <v>40</v>
      </c>
      <c r="B37">
        <v>1</v>
      </c>
    </row>
    <row r="38" spans="1:2" x14ac:dyDescent="0.35">
      <c r="A38" t="s">
        <v>41</v>
      </c>
      <c r="B38">
        <v>0</v>
      </c>
    </row>
    <row r="39" spans="1:2" x14ac:dyDescent="0.35">
      <c r="A39" t="s">
        <v>42</v>
      </c>
      <c r="B39">
        <v>0</v>
      </c>
    </row>
    <row r="40" spans="1:2" x14ac:dyDescent="0.35">
      <c r="A40" t="s">
        <v>43</v>
      </c>
      <c r="B40">
        <v>0</v>
      </c>
    </row>
    <row r="41" spans="1:2" x14ac:dyDescent="0.35">
      <c r="A41" t="s">
        <v>44</v>
      </c>
      <c r="B41">
        <v>1</v>
      </c>
    </row>
    <row r="42" spans="1:2" x14ac:dyDescent="0.35">
      <c r="A42" t="s">
        <v>45</v>
      </c>
      <c r="B42">
        <v>0</v>
      </c>
    </row>
    <row r="43" spans="1:2" x14ac:dyDescent="0.35">
      <c r="A43" t="s">
        <v>46</v>
      </c>
      <c r="B43">
        <v>1</v>
      </c>
    </row>
    <row r="44" spans="1:2" x14ac:dyDescent="0.35">
      <c r="A44" t="s">
        <v>47</v>
      </c>
      <c r="B44">
        <v>0</v>
      </c>
    </row>
    <row r="45" spans="1:2" x14ac:dyDescent="0.35">
      <c r="A45" t="s">
        <v>48</v>
      </c>
      <c r="B45">
        <v>0</v>
      </c>
    </row>
    <row r="46" spans="1:2" x14ac:dyDescent="0.35">
      <c r="A46" t="s">
        <v>49</v>
      </c>
      <c r="B46">
        <v>0</v>
      </c>
    </row>
    <row r="47" spans="1:2" x14ac:dyDescent="0.35">
      <c r="A47" t="s">
        <v>50</v>
      </c>
      <c r="B47">
        <v>1</v>
      </c>
    </row>
    <row r="48" spans="1:2" x14ac:dyDescent="0.35">
      <c r="A48" t="s">
        <v>51</v>
      </c>
      <c r="B48">
        <v>0</v>
      </c>
    </row>
    <row r="49" spans="1:2" x14ac:dyDescent="0.35">
      <c r="A49" t="s">
        <v>52</v>
      </c>
      <c r="B49">
        <v>1</v>
      </c>
    </row>
    <row r="50" spans="1:2" x14ac:dyDescent="0.35">
      <c r="A50" t="s">
        <v>53</v>
      </c>
      <c r="B50">
        <v>0</v>
      </c>
    </row>
    <row r="51" spans="1:2" x14ac:dyDescent="0.35">
      <c r="A51" t="s">
        <v>54</v>
      </c>
      <c r="B51">
        <v>0</v>
      </c>
    </row>
    <row r="52" spans="1:2" x14ac:dyDescent="0.35">
      <c r="A52" t="s">
        <v>55</v>
      </c>
      <c r="B52">
        <v>0</v>
      </c>
    </row>
    <row r="53" spans="1:2" x14ac:dyDescent="0.35">
      <c r="A53" t="s">
        <v>56</v>
      </c>
      <c r="B53">
        <v>1</v>
      </c>
    </row>
    <row r="54" spans="1:2" x14ac:dyDescent="0.35">
      <c r="A54" t="s">
        <v>57</v>
      </c>
      <c r="B54">
        <v>0</v>
      </c>
    </row>
    <row r="55" spans="1:2" x14ac:dyDescent="0.35">
      <c r="A55" t="s">
        <v>58</v>
      </c>
      <c r="B55">
        <v>1</v>
      </c>
    </row>
    <row r="56" spans="1:2" x14ac:dyDescent="0.35">
      <c r="A56" t="s">
        <v>59</v>
      </c>
      <c r="B56">
        <v>0</v>
      </c>
    </row>
    <row r="57" spans="1:2" x14ac:dyDescent="0.35">
      <c r="A57" t="s">
        <v>60</v>
      </c>
      <c r="B57">
        <v>0</v>
      </c>
    </row>
    <row r="58" spans="1:2" x14ac:dyDescent="0.35">
      <c r="A58" t="s">
        <v>61</v>
      </c>
      <c r="B58">
        <v>0</v>
      </c>
    </row>
    <row r="59" spans="1:2" x14ac:dyDescent="0.35">
      <c r="A59" t="s">
        <v>62</v>
      </c>
      <c r="B59">
        <v>1</v>
      </c>
    </row>
    <row r="60" spans="1:2" x14ac:dyDescent="0.35">
      <c r="A60" t="s">
        <v>63</v>
      </c>
      <c r="B60">
        <v>0</v>
      </c>
    </row>
    <row r="61" spans="1:2" x14ac:dyDescent="0.35">
      <c r="A61" t="s">
        <v>64</v>
      </c>
      <c r="B61">
        <v>1</v>
      </c>
    </row>
    <row r="62" spans="1:2" x14ac:dyDescent="0.35">
      <c r="A62" t="s">
        <v>65</v>
      </c>
    </row>
    <row r="63" spans="1:2" x14ac:dyDescent="0.35">
      <c r="A63" t="s">
        <v>66</v>
      </c>
      <c r="B63" t="s">
        <v>67</v>
      </c>
    </row>
    <row r="64" spans="1:2" x14ac:dyDescent="0.35">
      <c r="A64" t="s">
        <v>68</v>
      </c>
      <c r="B64" t="s">
        <v>69</v>
      </c>
    </row>
    <row r="65" spans="1:2" x14ac:dyDescent="0.35">
      <c r="A65" t="s">
        <v>70</v>
      </c>
      <c r="B65">
        <v>15</v>
      </c>
    </row>
    <row r="66" spans="1:2" x14ac:dyDescent="0.35">
      <c r="A66" t="s">
        <v>71</v>
      </c>
    </row>
    <row r="67" spans="1:2" x14ac:dyDescent="0.35">
      <c r="A67" t="s">
        <v>72</v>
      </c>
    </row>
    <row r="68" spans="1:2" x14ac:dyDescent="0.35">
      <c r="A68" t="s">
        <v>73</v>
      </c>
    </row>
    <row r="69" spans="1:2" x14ac:dyDescent="0.35">
      <c r="A69" t="s">
        <v>74</v>
      </c>
    </row>
    <row r="70" spans="1:2" x14ac:dyDescent="0.35">
      <c r="A70" t="s">
        <v>75</v>
      </c>
      <c r="B70" t="s">
        <v>76</v>
      </c>
    </row>
    <row r="71" spans="1:2" x14ac:dyDescent="0.35">
      <c r="A71" t="s">
        <v>77</v>
      </c>
      <c r="B71" t="s">
        <v>78</v>
      </c>
    </row>
    <row r="72" spans="1:2" x14ac:dyDescent="0.35">
      <c r="A72" t="s">
        <v>79</v>
      </c>
      <c r="B72">
        <v>15</v>
      </c>
    </row>
    <row r="73" spans="1:2" x14ac:dyDescent="0.35">
      <c r="A73" t="s">
        <v>80</v>
      </c>
      <c r="B73" t="s">
        <v>81</v>
      </c>
    </row>
    <row r="74" spans="1:2" x14ac:dyDescent="0.35">
      <c r="A74" t="s">
        <v>82</v>
      </c>
      <c r="B74">
        <v>14</v>
      </c>
    </row>
    <row r="75" spans="1:2" x14ac:dyDescent="0.35">
      <c r="A75" t="s">
        <v>83</v>
      </c>
    </row>
    <row r="76" spans="1:2" x14ac:dyDescent="0.35">
      <c r="A76" t="s">
        <v>84</v>
      </c>
    </row>
    <row r="77" spans="1:2" x14ac:dyDescent="0.35">
      <c r="A77" t="s">
        <v>85</v>
      </c>
      <c r="B77" t="s">
        <v>86</v>
      </c>
    </row>
    <row r="78" spans="1:2" x14ac:dyDescent="0.35">
      <c r="A78" t="s">
        <v>87</v>
      </c>
      <c r="B78" t="s">
        <v>69</v>
      </c>
    </row>
    <row r="79" spans="1:2" x14ac:dyDescent="0.35">
      <c r="A79" t="s">
        <v>88</v>
      </c>
      <c r="B79">
        <v>15</v>
      </c>
    </row>
    <row r="80" spans="1:2" x14ac:dyDescent="0.35">
      <c r="A80" t="s">
        <v>89</v>
      </c>
    </row>
    <row r="81" spans="1:2" x14ac:dyDescent="0.35">
      <c r="A81" t="s">
        <v>90</v>
      </c>
    </row>
    <row r="82" spans="1:2" x14ac:dyDescent="0.35">
      <c r="A82" t="s">
        <v>91</v>
      </c>
    </row>
    <row r="83" spans="1:2" x14ac:dyDescent="0.35">
      <c r="A83" t="s">
        <v>92</v>
      </c>
    </row>
    <row r="84" spans="1:2" x14ac:dyDescent="0.35">
      <c r="A84" t="s">
        <v>93</v>
      </c>
      <c r="B84" t="s">
        <v>94</v>
      </c>
    </row>
    <row r="85" spans="1:2" x14ac:dyDescent="0.35">
      <c r="A85" t="s">
        <v>95</v>
      </c>
      <c r="B85" t="s">
        <v>446</v>
      </c>
    </row>
    <row r="86" spans="1:2" x14ac:dyDescent="0.35">
      <c r="A86" t="s">
        <v>96</v>
      </c>
      <c r="B86">
        <v>15</v>
      </c>
    </row>
    <row r="87" spans="1:2" x14ac:dyDescent="0.35">
      <c r="A87" t="s">
        <v>97</v>
      </c>
      <c r="B87" t="s">
        <v>98</v>
      </c>
    </row>
    <row r="88" spans="1:2" x14ac:dyDescent="0.35">
      <c r="A88" t="s">
        <v>99</v>
      </c>
      <c r="B88">
        <v>14</v>
      </c>
    </row>
    <row r="89" spans="1:2" x14ac:dyDescent="0.35">
      <c r="A89" t="s">
        <v>100</v>
      </c>
      <c r="B89" t="s">
        <v>101</v>
      </c>
    </row>
    <row r="90" spans="1:2" x14ac:dyDescent="0.35">
      <c r="A90" t="s">
        <v>102</v>
      </c>
      <c r="B90">
        <v>15</v>
      </c>
    </row>
    <row r="91" spans="1:2" x14ac:dyDescent="0.35">
      <c r="A91" t="s">
        <v>103</v>
      </c>
      <c r="B91" t="s">
        <v>104</v>
      </c>
    </row>
    <row r="92" spans="1:2" x14ac:dyDescent="0.35">
      <c r="A92" t="s">
        <v>105</v>
      </c>
      <c r="B92" t="s">
        <v>446</v>
      </c>
    </row>
    <row r="93" spans="1:2" x14ac:dyDescent="0.35">
      <c r="A93" t="s">
        <v>106</v>
      </c>
      <c r="B93">
        <v>9</v>
      </c>
    </row>
    <row r="94" spans="1:2" x14ac:dyDescent="0.35">
      <c r="A94" t="s">
        <v>107</v>
      </c>
      <c r="B94" t="s">
        <v>108</v>
      </c>
    </row>
    <row r="95" spans="1:2" x14ac:dyDescent="0.35">
      <c r="A95" t="s">
        <v>109</v>
      </c>
      <c r="B95">
        <v>15</v>
      </c>
    </row>
    <row r="96" spans="1:2" x14ac:dyDescent="0.35">
      <c r="A96" t="s">
        <v>110</v>
      </c>
    </row>
    <row r="97" spans="1:2" x14ac:dyDescent="0.35">
      <c r="A97" t="s">
        <v>111</v>
      </c>
    </row>
    <row r="98" spans="1:2" x14ac:dyDescent="0.35">
      <c r="A98" t="s">
        <v>112</v>
      </c>
      <c r="B98" t="s">
        <v>113</v>
      </c>
    </row>
    <row r="99" spans="1:2" x14ac:dyDescent="0.35">
      <c r="A99" t="s">
        <v>114</v>
      </c>
      <c r="B99" t="s">
        <v>69</v>
      </c>
    </row>
    <row r="100" spans="1:2" x14ac:dyDescent="0.35">
      <c r="A100" t="s">
        <v>115</v>
      </c>
      <c r="B100">
        <v>15</v>
      </c>
    </row>
    <row r="101" spans="1:2" x14ac:dyDescent="0.35">
      <c r="A101" t="s">
        <v>116</v>
      </c>
    </row>
    <row r="102" spans="1:2" x14ac:dyDescent="0.35">
      <c r="A102" t="s">
        <v>117</v>
      </c>
    </row>
    <row r="103" spans="1:2" x14ac:dyDescent="0.35">
      <c r="A103" t="s">
        <v>118</v>
      </c>
    </row>
    <row r="104" spans="1:2" x14ac:dyDescent="0.35">
      <c r="A104" t="s">
        <v>119</v>
      </c>
    </row>
    <row r="105" spans="1:2" x14ac:dyDescent="0.35">
      <c r="A105" t="s">
        <v>120</v>
      </c>
      <c r="B105" t="s">
        <v>121</v>
      </c>
    </row>
    <row r="106" spans="1:2" x14ac:dyDescent="0.35">
      <c r="A106" t="s">
        <v>122</v>
      </c>
      <c r="B106" t="s">
        <v>69</v>
      </c>
    </row>
    <row r="107" spans="1:2" x14ac:dyDescent="0.35">
      <c r="A107" t="s">
        <v>123</v>
      </c>
      <c r="B107">
        <v>15</v>
      </c>
    </row>
    <row r="108" spans="1:2" x14ac:dyDescent="0.35">
      <c r="A108" t="s">
        <v>124</v>
      </c>
      <c r="B108" t="s">
        <v>447</v>
      </c>
    </row>
    <row r="109" spans="1:2" x14ac:dyDescent="0.35">
      <c r="A109" t="s">
        <v>125</v>
      </c>
      <c r="B109">
        <v>11</v>
      </c>
    </row>
    <row r="110" spans="1:2" x14ac:dyDescent="0.35">
      <c r="A110" t="s">
        <v>126</v>
      </c>
    </row>
    <row r="111" spans="1:2" x14ac:dyDescent="0.35">
      <c r="A111" t="s">
        <v>127</v>
      </c>
    </row>
    <row r="112" spans="1:2" x14ac:dyDescent="0.35">
      <c r="A112" t="s">
        <v>128</v>
      </c>
      <c r="B112" t="s">
        <v>137</v>
      </c>
    </row>
    <row r="113" spans="1:2" x14ac:dyDescent="0.35">
      <c r="A113" t="s">
        <v>130</v>
      </c>
      <c r="B113" t="s">
        <v>447</v>
      </c>
    </row>
    <row r="114" spans="1:2" x14ac:dyDescent="0.35">
      <c r="A114" t="s">
        <v>131</v>
      </c>
      <c r="B114">
        <v>11</v>
      </c>
    </row>
    <row r="115" spans="1:2" x14ac:dyDescent="0.35">
      <c r="A115" t="s">
        <v>132</v>
      </c>
      <c r="B115" t="s">
        <v>502</v>
      </c>
    </row>
    <row r="116" spans="1:2" x14ac:dyDescent="0.35">
      <c r="A116" t="s">
        <v>133</v>
      </c>
      <c r="B116">
        <v>13</v>
      </c>
    </row>
    <row r="117" spans="1:2" x14ac:dyDescent="0.35">
      <c r="A117" t="s">
        <v>134</v>
      </c>
    </row>
    <row r="118" spans="1:2" x14ac:dyDescent="0.35">
      <c r="A118" t="s">
        <v>135</v>
      </c>
    </row>
    <row r="119" spans="1:2" x14ac:dyDescent="0.35">
      <c r="A119" t="s">
        <v>136</v>
      </c>
      <c r="B119" t="s">
        <v>137</v>
      </c>
    </row>
    <row r="120" spans="1:2" x14ac:dyDescent="0.35">
      <c r="A120" t="s">
        <v>138</v>
      </c>
      <c r="B120" t="s">
        <v>533</v>
      </c>
    </row>
    <row r="121" spans="1:2" x14ac:dyDescent="0.35">
      <c r="A121" t="s">
        <v>139</v>
      </c>
      <c r="B121">
        <v>9</v>
      </c>
    </row>
    <row r="122" spans="1:2" x14ac:dyDescent="0.35">
      <c r="A122" t="s">
        <v>140</v>
      </c>
      <c r="B122" t="s">
        <v>533</v>
      </c>
    </row>
    <row r="123" spans="1:2" x14ac:dyDescent="0.35">
      <c r="A123" t="s">
        <v>141</v>
      </c>
      <c r="B123">
        <v>9</v>
      </c>
    </row>
    <row r="124" spans="1:2" x14ac:dyDescent="0.35">
      <c r="A124" t="s">
        <v>142</v>
      </c>
    </row>
    <row r="125" spans="1:2" x14ac:dyDescent="0.35">
      <c r="A125" t="s">
        <v>143</v>
      </c>
    </row>
    <row r="126" spans="1:2" x14ac:dyDescent="0.35">
      <c r="A126" t="s">
        <v>144</v>
      </c>
      <c r="B126" t="s">
        <v>145</v>
      </c>
    </row>
    <row r="127" spans="1:2" x14ac:dyDescent="0.35">
      <c r="A127" t="s">
        <v>146</v>
      </c>
      <c r="B127" t="s">
        <v>69</v>
      </c>
    </row>
    <row r="128" spans="1:2" x14ac:dyDescent="0.35">
      <c r="A128" t="s">
        <v>147</v>
      </c>
      <c r="B128">
        <v>15</v>
      </c>
    </row>
    <row r="129" spans="1:2" x14ac:dyDescent="0.35">
      <c r="A129" t="s">
        <v>148</v>
      </c>
      <c r="B129" t="s">
        <v>78</v>
      </c>
    </row>
    <row r="130" spans="1:2" x14ac:dyDescent="0.35">
      <c r="A130" t="s">
        <v>149</v>
      </c>
      <c r="B130">
        <v>15</v>
      </c>
    </row>
    <row r="131" spans="1:2" x14ac:dyDescent="0.35">
      <c r="A131" t="s">
        <v>150</v>
      </c>
    </row>
    <row r="132" spans="1:2" x14ac:dyDescent="0.35">
      <c r="A132" t="s">
        <v>151</v>
      </c>
    </row>
    <row r="133" spans="1:2" x14ac:dyDescent="0.35">
      <c r="A133" t="s">
        <v>152</v>
      </c>
      <c r="B133" t="s">
        <v>449</v>
      </c>
    </row>
    <row r="134" spans="1:2" x14ac:dyDescent="0.35">
      <c r="A134" t="s">
        <v>153</v>
      </c>
      <c r="B134" t="s">
        <v>533</v>
      </c>
    </row>
    <row r="135" spans="1:2" x14ac:dyDescent="0.35">
      <c r="A135" t="s">
        <v>154</v>
      </c>
      <c r="B135">
        <v>9</v>
      </c>
    </row>
    <row r="136" spans="1:2" x14ac:dyDescent="0.35">
      <c r="A136" t="s">
        <v>155</v>
      </c>
    </row>
    <row r="137" spans="1:2" x14ac:dyDescent="0.35">
      <c r="A137" t="s">
        <v>156</v>
      </c>
    </row>
    <row r="138" spans="1:2" x14ac:dyDescent="0.35">
      <c r="A138" t="s">
        <v>157</v>
      </c>
    </row>
    <row r="139" spans="1:2" x14ac:dyDescent="0.35">
      <c r="A139" t="s">
        <v>158</v>
      </c>
    </row>
    <row r="140" spans="1:2" x14ac:dyDescent="0.35">
      <c r="A140" t="s">
        <v>159</v>
      </c>
      <c r="B140" t="s">
        <v>534</v>
      </c>
    </row>
    <row r="141" spans="1:2" x14ac:dyDescent="0.35">
      <c r="A141" t="s">
        <v>160</v>
      </c>
      <c r="B141" t="s">
        <v>78</v>
      </c>
    </row>
    <row r="142" spans="1:2" x14ac:dyDescent="0.35">
      <c r="A142" t="s">
        <v>161</v>
      </c>
      <c r="B142">
        <v>15</v>
      </c>
    </row>
    <row r="143" spans="1:2" x14ac:dyDescent="0.35">
      <c r="A143" t="s">
        <v>162</v>
      </c>
    </row>
    <row r="144" spans="1:2" x14ac:dyDescent="0.35">
      <c r="A144" t="s">
        <v>163</v>
      </c>
    </row>
    <row r="145" spans="1:2" x14ac:dyDescent="0.35">
      <c r="A145" t="s">
        <v>164</v>
      </c>
    </row>
    <row r="146" spans="1:2" x14ac:dyDescent="0.35">
      <c r="A146" t="s">
        <v>165</v>
      </c>
    </row>
    <row r="147" spans="1:2" x14ac:dyDescent="0.35">
      <c r="A147" t="s">
        <v>166</v>
      </c>
      <c r="B147" t="s">
        <v>452</v>
      </c>
    </row>
    <row r="148" spans="1:2" x14ac:dyDescent="0.35">
      <c r="A148" t="s">
        <v>167</v>
      </c>
      <c r="B148">
        <v>44</v>
      </c>
    </row>
    <row r="149" spans="1:2" x14ac:dyDescent="0.35">
      <c r="A149" t="s">
        <v>168</v>
      </c>
      <c r="B149" t="s">
        <v>452</v>
      </c>
    </row>
    <row r="150" spans="1:2" x14ac:dyDescent="0.35">
      <c r="A150" t="s">
        <v>169</v>
      </c>
      <c r="B150">
        <v>44</v>
      </c>
    </row>
    <row r="151" spans="1:2" x14ac:dyDescent="0.35">
      <c r="A151" t="s">
        <v>170</v>
      </c>
      <c r="B151" t="s">
        <v>453</v>
      </c>
    </row>
    <row r="152" spans="1:2" x14ac:dyDescent="0.35">
      <c r="A152" t="s">
        <v>171</v>
      </c>
      <c r="B152">
        <v>44</v>
      </c>
    </row>
    <row r="153" spans="1:2" x14ac:dyDescent="0.35">
      <c r="A153" t="s">
        <v>172</v>
      </c>
    </row>
    <row r="154" spans="1:2" x14ac:dyDescent="0.35">
      <c r="A154" t="s">
        <v>173</v>
      </c>
      <c r="B154">
        <v>0</v>
      </c>
    </row>
    <row r="155" spans="1:2" x14ac:dyDescent="0.35">
      <c r="A155" t="s">
        <v>174</v>
      </c>
    </row>
    <row r="156" spans="1:2" x14ac:dyDescent="0.35">
      <c r="A156" t="s">
        <v>175</v>
      </c>
      <c r="B156">
        <v>0</v>
      </c>
    </row>
    <row r="157" spans="1:2" x14ac:dyDescent="0.35">
      <c r="A157" t="s">
        <v>176</v>
      </c>
      <c r="B157" t="s">
        <v>453</v>
      </c>
    </row>
    <row r="158" spans="1:2" x14ac:dyDescent="0.35">
      <c r="A158" t="s">
        <v>177</v>
      </c>
      <c r="B158">
        <v>44</v>
      </c>
    </row>
    <row r="159" spans="1:2" x14ac:dyDescent="0.35">
      <c r="A159" t="s">
        <v>178</v>
      </c>
      <c r="B159" t="s">
        <v>179</v>
      </c>
    </row>
    <row r="160" spans="1:2" x14ac:dyDescent="0.35">
      <c r="A160" t="s">
        <v>180</v>
      </c>
      <c r="B160">
        <v>44</v>
      </c>
    </row>
    <row r="161" spans="1:2" x14ac:dyDescent="0.35">
      <c r="A161" t="s">
        <v>181</v>
      </c>
      <c r="B161" t="s">
        <v>179</v>
      </c>
    </row>
    <row r="162" spans="1:2" x14ac:dyDescent="0.35">
      <c r="A162" t="s">
        <v>182</v>
      </c>
      <c r="B162">
        <v>44</v>
      </c>
    </row>
    <row r="163" spans="1:2" x14ac:dyDescent="0.35">
      <c r="A163" t="s">
        <v>183</v>
      </c>
      <c r="B163" t="s">
        <v>179</v>
      </c>
    </row>
    <row r="164" spans="1:2" x14ac:dyDescent="0.35">
      <c r="A164" t="s">
        <v>184</v>
      </c>
      <c r="B164">
        <v>44</v>
      </c>
    </row>
    <row r="165" spans="1:2" x14ac:dyDescent="0.35">
      <c r="A165" t="s">
        <v>185</v>
      </c>
      <c r="B165" t="s">
        <v>179</v>
      </c>
    </row>
    <row r="166" spans="1:2" x14ac:dyDescent="0.35">
      <c r="A166" t="s">
        <v>186</v>
      </c>
      <c r="B166">
        <v>44</v>
      </c>
    </row>
    <row r="167" spans="1:2" x14ac:dyDescent="0.35">
      <c r="A167" t="s">
        <v>187</v>
      </c>
    </row>
    <row r="168" spans="1:2" x14ac:dyDescent="0.35">
      <c r="A168" t="s">
        <v>188</v>
      </c>
      <c r="B168">
        <v>0</v>
      </c>
    </row>
    <row r="169" spans="1:2" x14ac:dyDescent="0.35">
      <c r="A169" t="s">
        <v>189</v>
      </c>
    </row>
    <row r="170" spans="1:2" x14ac:dyDescent="0.35">
      <c r="A170" t="s">
        <v>190</v>
      </c>
      <c r="B170">
        <v>0</v>
      </c>
    </row>
    <row r="171" spans="1:2" x14ac:dyDescent="0.35">
      <c r="A171" t="s">
        <v>191</v>
      </c>
      <c r="B171" t="s">
        <v>526</v>
      </c>
    </row>
    <row r="172" spans="1:2" x14ac:dyDescent="0.35">
      <c r="A172" t="s">
        <v>192</v>
      </c>
      <c r="B172" t="s">
        <v>452</v>
      </c>
    </row>
    <row r="173" spans="1:2" x14ac:dyDescent="0.35">
      <c r="A173" t="s">
        <v>193</v>
      </c>
      <c r="B173">
        <v>2227</v>
      </c>
    </row>
    <row r="174" spans="1:2" x14ac:dyDescent="0.35">
      <c r="A174" t="s">
        <v>194</v>
      </c>
      <c r="B174" t="s">
        <v>195</v>
      </c>
    </row>
    <row r="175" spans="1:2" x14ac:dyDescent="0.35">
      <c r="A175" t="s">
        <v>196</v>
      </c>
      <c r="B175" t="s">
        <v>197</v>
      </c>
    </row>
    <row r="176" spans="1:2" x14ac:dyDescent="0.35">
      <c r="A176" t="s">
        <v>198</v>
      </c>
      <c r="B176" t="s">
        <v>199</v>
      </c>
    </row>
    <row r="177" spans="1:2" x14ac:dyDescent="0.35">
      <c r="A177" t="s">
        <v>200</v>
      </c>
      <c r="B177" t="s">
        <v>201</v>
      </c>
    </row>
    <row r="178" spans="1:2" x14ac:dyDescent="0.35">
      <c r="A178" t="s">
        <v>202</v>
      </c>
    </row>
    <row r="179" spans="1:2" x14ac:dyDescent="0.35">
      <c r="A179" t="s">
        <v>203</v>
      </c>
      <c r="B179">
        <v>5</v>
      </c>
    </row>
    <row r="180" spans="1:2" x14ac:dyDescent="0.35">
      <c r="A180" t="s">
        <v>204</v>
      </c>
      <c r="B180">
        <v>5</v>
      </c>
    </row>
    <row r="181" spans="1:2" x14ac:dyDescent="0.35">
      <c r="A181" t="s">
        <v>205</v>
      </c>
      <c r="B181">
        <v>0</v>
      </c>
    </row>
    <row r="182" spans="1:2" x14ac:dyDescent="0.35">
      <c r="A182" t="s">
        <v>206</v>
      </c>
      <c r="B182">
        <v>5</v>
      </c>
    </row>
    <row r="183" spans="1:2" x14ac:dyDescent="0.35">
      <c r="A183" t="s">
        <v>207</v>
      </c>
      <c r="B183">
        <v>0</v>
      </c>
    </row>
    <row r="184" spans="1:2" x14ac:dyDescent="0.35">
      <c r="A184" t="s">
        <v>208</v>
      </c>
      <c r="B184">
        <v>0</v>
      </c>
    </row>
    <row r="185" spans="1:2" x14ac:dyDescent="0.35">
      <c r="A185" t="s">
        <v>209</v>
      </c>
      <c r="B185">
        <v>5</v>
      </c>
    </row>
    <row r="186" spans="1:2" x14ac:dyDescent="0.35">
      <c r="A186" t="s">
        <v>210</v>
      </c>
      <c r="B186">
        <v>5</v>
      </c>
    </row>
    <row r="187" spans="1:2" x14ac:dyDescent="0.35">
      <c r="A187" t="s">
        <v>211</v>
      </c>
      <c r="B187">
        <v>5</v>
      </c>
    </row>
    <row r="188" spans="1:2" x14ac:dyDescent="0.35">
      <c r="A188" t="s">
        <v>212</v>
      </c>
      <c r="B188">
        <v>2</v>
      </c>
    </row>
    <row r="189" spans="1:2" x14ac:dyDescent="0.35">
      <c r="A189" t="s">
        <v>213</v>
      </c>
      <c r="B189">
        <v>5</v>
      </c>
    </row>
    <row r="190" spans="1:2" x14ac:dyDescent="0.35">
      <c r="A190" t="s">
        <v>214</v>
      </c>
      <c r="B190">
        <v>5</v>
      </c>
    </row>
    <row r="191" spans="1:2" x14ac:dyDescent="0.35">
      <c r="A191" t="s">
        <v>215</v>
      </c>
      <c r="B191">
        <v>0</v>
      </c>
    </row>
    <row r="192" spans="1:2" x14ac:dyDescent="0.35">
      <c r="A192" t="s">
        <v>216</v>
      </c>
      <c r="B192">
        <v>5</v>
      </c>
    </row>
    <row r="193" spans="1:2" x14ac:dyDescent="0.35">
      <c r="A193" t="s">
        <v>217</v>
      </c>
      <c r="B193">
        <v>5</v>
      </c>
    </row>
    <row r="194" spans="1:2" x14ac:dyDescent="0.35">
      <c r="A194" t="s">
        <v>218</v>
      </c>
      <c r="B194">
        <v>5</v>
      </c>
    </row>
    <row r="195" spans="1:2" x14ac:dyDescent="0.35">
      <c r="A195" t="s">
        <v>219</v>
      </c>
      <c r="B195">
        <v>0</v>
      </c>
    </row>
    <row r="196" spans="1:2" x14ac:dyDescent="0.35">
      <c r="A196" t="s">
        <v>220</v>
      </c>
      <c r="B196">
        <v>0</v>
      </c>
    </row>
    <row r="197" spans="1:2" x14ac:dyDescent="0.35">
      <c r="A197" t="s">
        <v>221</v>
      </c>
      <c r="B197">
        <v>0</v>
      </c>
    </row>
    <row r="198" spans="1:2" x14ac:dyDescent="0.35">
      <c r="A198" t="s">
        <v>222</v>
      </c>
      <c r="B198">
        <v>0</v>
      </c>
    </row>
    <row r="199" spans="1:2" x14ac:dyDescent="0.35">
      <c r="A199" t="s">
        <v>223</v>
      </c>
      <c r="B199">
        <v>5</v>
      </c>
    </row>
    <row r="200" spans="1:2" x14ac:dyDescent="0.35">
      <c r="A200" t="s">
        <v>224</v>
      </c>
      <c r="B200">
        <v>5</v>
      </c>
    </row>
    <row r="201" spans="1:2" x14ac:dyDescent="0.35">
      <c r="A201" t="s">
        <v>225</v>
      </c>
      <c r="B201">
        <v>0</v>
      </c>
    </row>
    <row r="202" spans="1:2" x14ac:dyDescent="0.35">
      <c r="A202" t="s">
        <v>226</v>
      </c>
      <c r="B202">
        <v>0</v>
      </c>
    </row>
    <row r="203" spans="1:2" x14ac:dyDescent="0.35">
      <c r="A203" t="s">
        <v>227</v>
      </c>
      <c r="B203">
        <v>0</v>
      </c>
    </row>
    <row r="204" spans="1:2" x14ac:dyDescent="0.35">
      <c r="A204" t="s">
        <v>228</v>
      </c>
      <c r="B204">
        <v>0</v>
      </c>
    </row>
    <row r="205" spans="1:2" x14ac:dyDescent="0.35">
      <c r="A205" t="s">
        <v>229</v>
      </c>
      <c r="B205">
        <v>0</v>
      </c>
    </row>
    <row r="206" spans="1:2" x14ac:dyDescent="0.35">
      <c r="A206" t="s">
        <v>230</v>
      </c>
      <c r="B206">
        <v>0</v>
      </c>
    </row>
    <row r="207" spans="1:2" x14ac:dyDescent="0.35">
      <c r="A207" t="s">
        <v>231</v>
      </c>
      <c r="B207">
        <v>4</v>
      </c>
    </row>
    <row r="208" spans="1:2" x14ac:dyDescent="0.35">
      <c r="A208" t="s">
        <v>232</v>
      </c>
      <c r="B208">
        <v>0</v>
      </c>
    </row>
    <row r="209" spans="1:2" x14ac:dyDescent="0.35">
      <c r="A209" t="s">
        <v>233</v>
      </c>
      <c r="B209">
        <v>0</v>
      </c>
    </row>
    <row r="210" spans="1:2" x14ac:dyDescent="0.35">
      <c r="A210" t="s">
        <v>234</v>
      </c>
      <c r="B210">
        <v>4</v>
      </c>
    </row>
    <row r="211" spans="1:2" x14ac:dyDescent="0.35">
      <c r="A211" t="s">
        <v>235</v>
      </c>
      <c r="B211">
        <v>0</v>
      </c>
    </row>
    <row r="212" spans="1:2" x14ac:dyDescent="0.35">
      <c r="A212" t="s">
        <v>236</v>
      </c>
      <c r="B212">
        <v>0</v>
      </c>
    </row>
    <row r="213" spans="1:2" x14ac:dyDescent="0.35">
      <c r="A213" t="s">
        <v>237</v>
      </c>
      <c r="B213">
        <v>0</v>
      </c>
    </row>
    <row r="214" spans="1:2" x14ac:dyDescent="0.35">
      <c r="A214" t="s">
        <v>238</v>
      </c>
      <c r="B214">
        <v>0</v>
      </c>
    </row>
    <row r="215" spans="1:2" x14ac:dyDescent="0.35">
      <c r="A215" t="s">
        <v>239</v>
      </c>
      <c r="B215">
        <v>3</v>
      </c>
    </row>
    <row r="216" spans="1:2" x14ac:dyDescent="0.35">
      <c r="A216" t="s">
        <v>240</v>
      </c>
      <c r="B216">
        <v>0</v>
      </c>
    </row>
    <row r="217" spans="1:2" x14ac:dyDescent="0.35">
      <c r="A217" t="s">
        <v>241</v>
      </c>
      <c r="B217">
        <v>0</v>
      </c>
    </row>
    <row r="218" spans="1:2" x14ac:dyDescent="0.35">
      <c r="A218" t="s">
        <v>242</v>
      </c>
      <c r="B218">
        <v>0</v>
      </c>
    </row>
    <row r="219" spans="1:2" x14ac:dyDescent="0.35">
      <c r="A219" t="s">
        <v>243</v>
      </c>
      <c r="B219">
        <v>0</v>
      </c>
    </row>
    <row r="220" spans="1:2" x14ac:dyDescent="0.35">
      <c r="A220" t="s">
        <v>244</v>
      </c>
      <c r="B220">
        <v>0</v>
      </c>
    </row>
    <row r="221" spans="1:2" x14ac:dyDescent="0.35">
      <c r="A221" t="s">
        <v>245</v>
      </c>
      <c r="B221" t="s">
        <v>455</v>
      </c>
    </row>
    <row r="222" spans="1:2" x14ac:dyDescent="0.35">
      <c r="A222" t="s">
        <v>246</v>
      </c>
      <c r="B222" t="s">
        <v>535</v>
      </c>
    </row>
    <row r="223" spans="1:2" x14ac:dyDescent="0.35">
      <c r="A223" t="s">
        <v>248</v>
      </c>
      <c r="B223" t="s">
        <v>249</v>
      </c>
    </row>
    <row r="224" spans="1:2" x14ac:dyDescent="0.35">
      <c r="A224" t="s">
        <v>250</v>
      </c>
    </row>
    <row r="225" spans="1:2" x14ac:dyDescent="0.35">
      <c r="A225" t="s">
        <v>251</v>
      </c>
      <c r="B225" t="s">
        <v>252</v>
      </c>
    </row>
    <row r="226" spans="1:2" x14ac:dyDescent="0.35">
      <c r="A226" t="s">
        <v>253</v>
      </c>
      <c r="B226" t="s">
        <v>254</v>
      </c>
    </row>
    <row r="227" spans="1:2" x14ac:dyDescent="0.35">
      <c r="A227" t="s">
        <v>255</v>
      </c>
      <c r="B227" t="s">
        <v>256</v>
      </c>
    </row>
    <row r="228" spans="1:2" x14ac:dyDescent="0.35">
      <c r="A228" t="s">
        <v>257</v>
      </c>
      <c r="B228" t="s">
        <v>258</v>
      </c>
    </row>
    <row r="229" spans="1:2" x14ac:dyDescent="0.35">
      <c r="A229" t="s">
        <v>259</v>
      </c>
      <c r="B229" t="s">
        <v>254</v>
      </c>
    </row>
    <row r="230" spans="1:2" x14ac:dyDescent="0.35">
      <c r="A230" t="s">
        <v>260</v>
      </c>
      <c r="B230" t="s">
        <v>256</v>
      </c>
    </row>
    <row r="231" spans="1:2" x14ac:dyDescent="0.35">
      <c r="A231" t="s">
        <v>261</v>
      </c>
      <c r="B231" t="s">
        <v>258</v>
      </c>
    </row>
    <row r="232" spans="1:2" x14ac:dyDescent="0.35">
      <c r="A232" t="s">
        <v>262</v>
      </c>
      <c r="B232" t="s">
        <v>254</v>
      </c>
    </row>
    <row r="233" spans="1:2" x14ac:dyDescent="0.35">
      <c r="A233" t="s">
        <v>263</v>
      </c>
      <c r="B233" t="s">
        <v>256</v>
      </c>
    </row>
    <row r="234" spans="1:2" x14ac:dyDescent="0.35">
      <c r="A234" t="s">
        <v>264</v>
      </c>
      <c r="B234" t="s">
        <v>265</v>
      </c>
    </row>
    <row r="235" spans="1:2" x14ac:dyDescent="0.35">
      <c r="A235" t="s">
        <v>266</v>
      </c>
      <c r="B235" t="s">
        <v>267</v>
      </c>
    </row>
    <row r="236" spans="1:2" x14ac:dyDescent="0.35">
      <c r="A236" t="s">
        <v>268</v>
      </c>
      <c r="B236" t="s">
        <v>254</v>
      </c>
    </row>
    <row r="237" spans="1:2" x14ac:dyDescent="0.35">
      <c r="A237" t="s">
        <v>269</v>
      </c>
      <c r="B237" t="s">
        <v>256</v>
      </c>
    </row>
    <row r="238" spans="1:2" x14ac:dyDescent="0.35">
      <c r="A238" t="s">
        <v>270</v>
      </c>
      <c r="B238" t="s">
        <v>265</v>
      </c>
    </row>
    <row r="239" spans="1:2" x14ac:dyDescent="0.35">
      <c r="A239" t="s">
        <v>271</v>
      </c>
      <c r="B239" t="s">
        <v>272</v>
      </c>
    </row>
    <row r="240" spans="1:2" x14ac:dyDescent="0.35">
      <c r="A240" t="s">
        <v>273</v>
      </c>
      <c r="B240" t="s">
        <v>256</v>
      </c>
    </row>
    <row r="241" spans="1:2" x14ac:dyDescent="0.35">
      <c r="A241" t="s">
        <v>274</v>
      </c>
      <c r="B241" t="s">
        <v>275</v>
      </c>
    </row>
    <row r="242" spans="1:2" x14ac:dyDescent="0.35">
      <c r="A242" t="s">
        <v>276</v>
      </c>
      <c r="B242" t="s">
        <v>254</v>
      </c>
    </row>
    <row r="243" spans="1:2" x14ac:dyDescent="0.35">
      <c r="A243" t="s">
        <v>277</v>
      </c>
      <c r="B243" t="s">
        <v>256</v>
      </c>
    </row>
    <row r="244" spans="1:2" x14ac:dyDescent="0.35">
      <c r="A244" t="s">
        <v>278</v>
      </c>
      <c r="B244" t="s">
        <v>258</v>
      </c>
    </row>
    <row r="245" spans="1:2" x14ac:dyDescent="0.35">
      <c r="A245" t="s">
        <v>279</v>
      </c>
      <c r="B245" t="s">
        <v>536</v>
      </c>
    </row>
    <row r="246" spans="1:2" x14ac:dyDescent="0.35">
      <c r="A246" t="s">
        <v>281</v>
      </c>
      <c r="B246" t="s">
        <v>537</v>
      </c>
    </row>
    <row r="247" spans="1:2" x14ac:dyDescent="0.35">
      <c r="A247" t="s">
        <v>282</v>
      </c>
      <c r="B247" t="s">
        <v>529</v>
      </c>
    </row>
    <row r="248" spans="1:2" x14ac:dyDescent="0.35">
      <c r="A248" t="s">
        <v>283</v>
      </c>
      <c r="B248" t="s">
        <v>258</v>
      </c>
    </row>
    <row r="249" spans="1:2" x14ac:dyDescent="0.35">
      <c r="A249" t="s">
        <v>284</v>
      </c>
      <c r="B249" t="s">
        <v>254</v>
      </c>
    </row>
    <row r="250" spans="1:2" x14ac:dyDescent="0.35">
      <c r="A250" t="s">
        <v>285</v>
      </c>
      <c r="B250" t="s">
        <v>256</v>
      </c>
    </row>
    <row r="251" spans="1:2" x14ac:dyDescent="0.35">
      <c r="A251" t="s">
        <v>286</v>
      </c>
      <c r="B251" t="s">
        <v>265</v>
      </c>
    </row>
    <row r="252" spans="1:2" x14ac:dyDescent="0.35">
      <c r="A252" t="s">
        <v>288</v>
      </c>
      <c r="B252" t="s">
        <v>272</v>
      </c>
    </row>
    <row r="253" spans="1:2" x14ac:dyDescent="0.35">
      <c r="A253" t="s">
        <v>289</v>
      </c>
      <c r="B253" t="s">
        <v>256</v>
      </c>
    </row>
    <row r="254" spans="1:2" x14ac:dyDescent="0.35">
      <c r="A254" t="s">
        <v>290</v>
      </c>
      <c r="B254" t="s">
        <v>275</v>
      </c>
    </row>
    <row r="255" spans="1:2" x14ac:dyDescent="0.35">
      <c r="A255" t="s">
        <v>291</v>
      </c>
      <c r="B255" t="s">
        <v>292</v>
      </c>
    </row>
    <row r="256" spans="1:2" x14ac:dyDescent="0.35">
      <c r="A256" t="s">
        <v>293</v>
      </c>
      <c r="B256" t="s">
        <v>254</v>
      </c>
    </row>
    <row r="257" spans="1:2" x14ac:dyDescent="0.35">
      <c r="A257" t="s">
        <v>294</v>
      </c>
      <c r="B257" t="s">
        <v>256</v>
      </c>
    </row>
    <row r="258" spans="1:2" x14ac:dyDescent="0.35">
      <c r="A258" t="s">
        <v>295</v>
      </c>
      <c r="B258" t="s">
        <v>258</v>
      </c>
    </row>
    <row r="259" spans="1:2" x14ac:dyDescent="0.35">
      <c r="A259" t="s">
        <v>296</v>
      </c>
      <c r="B259" t="s">
        <v>272</v>
      </c>
    </row>
    <row r="260" spans="1:2" x14ac:dyDescent="0.35">
      <c r="A260" t="s">
        <v>297</v>
      </c>
      <c r="B260" t="s">
        <v>256</v>
      </c>
    </row>
    <row r="261" spans="1:2" x14ac:dyDescent="0.35">
      <c r="A261" t="s">
        <v>298</v>
      </c>
      <c r="B261" t="s">
        <v>275</v>
      </c>
    </row>
    <row r="262" spans="1:2" x14ac:dyDescent="0.35">
      <c r="A262" t="s">
        <v>299</v>
      </c>
      <c r="B262" t="s">
        <v>537</v>
      </c>
    </row>
    <row r="263" spans="1:2" x14ac:dyDescent="0.35">
      <c r="A263" t="s">
        <v>300</v>
      </c>
      <c r="B263" t="s">
        <v>256</v>
      </c>
    </row>
    <row r="264" spans="1:2" x14ac:dyDescent="0.35">
      <c r="A264" t="s">
        <v>301</v>
      </c>
      <c r="B264" t="s">
        <v>275</v>
      </c>
    </row>
    <row r="265" spans="1:2" x14ac:dyDescent="0.35">
      <c r="A265" t="s">
        <v>302</v>
      </c>
      <c r="B265" t="s">
        <v>527</v>
      </c>
    </row>
    <row r="266" spans="1:2" x14ac:dyDescent="0.35">
      <c r="A266" t="s">
        <v>304</v>
      </c>
      <c r="B266" t="s">
        <v>528</v>
      </c>
    </row>
    <row r="267" spans="1:2" x14ac:dyDescent="0.35">
      <c r="A267" t="s">
        <v>305</v>
      </c>
      <c r="B267" t="s">
        <v>529</v>
      </c>
    </row>
    <row r="268" spans="1:2" x14ac:dyDescent="0.35">
      <c r="A268" t="s">
        <v>306</v>
      </c>
      <c r="B268" t="s">
        <v>258</v>
      </c>
    </row>
    <row r="269" spans="1:2" x14ac:dyDescent="0.35">
      <c r="A269" t="s">
        <v>308</v>
      </c>
      <c r="B269" t="s">
        <v>456</v>
      </c>
    </row>
    <row r="270" spans="1:2" x14ac:dyDescent="0.35">
      <c r="A270" t="s">
        <v>309</v>
      </c>
      <c r="B270" t="s">
        <v>256</v>
      </c>
    </row>
    <row r="271" spans="1:2" x14ac:dyDescent="0.35">
      <c r="A271" t="s">
        <v>310</v>
      </c>
      <c r="B271" t="s">
        <v>275</v>
      </c>
    </row>
    <row r="272" spans="1:2" x14ac:dyDescent="0.35">
      <c r="A272" t="s">
        <v>311</v>
      </c>
      <c r="B272" t="s">
        <v>456</v>
      </c>
    </row>
    <row r="273" spans="1:2" x14ac:dyDescent="0.35">
      <c r="A273" t="s">
        <v>312</v>
      </c>
      <c r="B273" t="s">
        <v>529</v>
      </c>
    </row>
    <row r="274" spans="1:2" x14ac:dyDescent="0.35">
      <c r="A274" t="s">
        <v>313</v>
      </c>
      <c r="B274" t="s">
        <v>275</v>
      </c>
    </row>
    <row r="275" spans="1:2" x14ac:dyDescent="0.35">
      <c r="A275" t="s">
        <v>314</v>
      </c>
      <c r="B275">
        <v>4</v>
      </c>
    </row>
    <row r="276" spans="1:2" x14ac:dyDescent="0.35">
      <c r="A276" t="s">
        <v>315</v>
      </c>
      <c r="B276">
        <v>3</v>
      </c>
    </row>
    <row r="277" spans="1:2" x14ac:dyDescent="0.35">
      <c r="A277" t="s">
        <v>316</v>
      </c>
      <c r="B277">
        <v>3</v>
      </c>
    </row>
    <row r="278" spans="1:2" x14ac:dyDescent="0.35">
      <c r="A278" t="s">
        <v>317</v>
      </c>
      <c r="B278">
        <v>0</v>
      </c>
    </row>
    <row r="279" spans="1:2" x14ac:dyDescent="0.35">
      <c r="A279" t="s">
        <v>318</v>
      </c>
      <c r="B279">
        <v>0</v>
      </c>
    </row>
    <row r="280" spans="1:2" x14ac:dyDescent="0.35">
      <c r="A280" t="s">
        <v>319</v>
      </c>
      <c r="B280">
        <v>0</v>
      </c>
    </row>
    <row r="281" spans="1:2" x14ac:dyDescent="0.35">
      <c r="A281" t="s">
        <v>320</v>
      </c>
      <c r="B281" t="s">
        <v>321</v>
      </c>
    </row>
    <row r="282" spans="1:2" x14ac:dyDescent="0.35">
      <c r="A282" t="s">
        <v>322</v>
      </c>
      <c r="B282" t="s">
        <v>457</v>
      </c>
    </row>
    <row r="283" spans="1:2" x14ac:dyDescent="0.35">
      <c r="A283" t="s">
        <v>323</v>
      </c>
      <c r="B283">
        <v>5</v>
      </c>
    </row>
    <row r="284" spans="1:2" x14ac:dyDescent="0.35">
      <c r="A284" t="s">
        <v>324</v>
      </c>
      <c r="B284">
        <v>5</v>
      </c>
    </row>
    <row r="285" spans="1:2" x14ac:dyDescent="0.35">
      <c r="A285" t="s">
        <v>325</v>
      </c>
    </row>
    <row r="286" spans="1:2" x14ac:dyDescent="0.35">
      <c r="A286" t="s">
        <v>326</v>
      </c>
      <c r="B286" t="s">
        <v>327</v>
      </c>
    </row>
    <row r="287" spans="1:2" x14ac:dyDescent="0.35">
      <c r="A287" t="s">
        <v>328</v>
      </c>
    </row>
    <row r="288" spans="1:2" x14ac:dyDescent="0.35">
      <c r="A288" t="s">
        <v>329</v>
      </c>
    </row>
    <row r="289" spans="1:2" x14ac:dyDescent="0.35">
      <c r="A289" t="s">
        <v>330</v>
      </c>
      <c r="B289" t="s">
        <v>331</v>
      </c>
    </row>
    <row r="290" spans="1:2" x14ac:dyDescent="0.35">
      <c r="A290" t="s">
        <v>332</v>
      </c>
    </row>
    <row r="291" spans="1:2" x14ac:dyDescent="0.35">
      <c r="A291" t="s">
        <v>333</v>
      </c>
      <c r="B291" t="s">
        <v>458</v>
      </c>
    </row>
    <row r="292" spans="1:2" x14ac:dyDescent="0.35">
      <c r="A292" t="s">
        <v>334</v>
      </c>
      <c r="B292" t="s">
        <v>459</v>
      </c>
    </row>
    <row r="293" spans="1:2" x14ac:dyDescent="0.35">
      <c r="A293" t="s">
        <v>335</v>
      </c>
      <c r="B293" t="s">
        <v>460</v>
      </c>
    </row>
    <row r="294" spans="1:2" x14ac:dyDescent="0.35">
      <c r="A294" t="s">
        <v>336</v>
      </c>
      <c r="B294">
        <v>6</v>
      </c>
    </row>
    <row r="295" spans="1:2" x14ac:dyDescent="0.35">
      <c r="A295" t="s">
        <v>337</v>
      </c>
      <c r="B295">
        <v>4</v>
      </c>
    </row>
    <row r="296" spans="1:2" x14ac:dyDescent="0.35">
      <c r="A296" t="s">
        <v>338</v>
      </c>
      <c r="B296">
        <v>0</v>
      </c>
    </row>
    <row r="297" spans="1:2" x14ac:dyDescent="0.35">
      <c r="A297" t="s">
        <v>339</v>
      </c>
      <c r="B297">
        <v>0</v>
      </c>
    </row>
    <row r="298" spans="1:2" x14ac:dyDescent="0.35">
      <c r="A298" t="s">
        <v>340</v>
      </c>
      <c r="B298">
        <v>0</v>
      </c>
    </row>
    <row r="299" spans="1:2" x14ac:dyDescent="0.35">
      <c r="A299" t="s">
        <v>341</v>
      </c>
      <c r="B299">
        <v>0</v>
      </c>
    </row>
    <row r="300" spans="1:2" x14ac:dyDescent="0.35">
      <c r="A300" t="s">
        <v>342</v>
      </c>
      <c r="B300" t="s">
        <v>538</v>
      </c>
    </row>
    <row r="301" spans="1:2" x14ac:dyDescent="0.35">
      <c r="A301" t="s">
        <v>344</v>
      </c>
      <c r="B301" t="s">
        <v>461</v>
      </c>
    </row>
    <row r="302" spans="1:2" x14ac:dyDescent="0.35">
      <c r="A302" t="s">
        <v>345</v>
      </c>
      <c r="B302">
        <v>10</v>
      </c>
    </row>
    <row r="303" spans="1:2" x14ac:dyDescent="0.35">
      <c r="A303" t="s">
        <v>346</v>
      </c>
      <c r="B303" t="s">
        <v>347</v>
      </c>
    </row>
    <row r="304" spans="1:2" x14ac:dyDescent="0.35">
      <c r="A304" t="s">
        <v>348</v>
      </c>
      <c r="B304">
        <v>15</v>
      </c>
    </row>
    <row r="305" spans="1:2" x14ac:dyDescent="0.35">
      <c r="A305" t="s">
        <v>349</v>
      </c>
      <c r="B305" t="s">
        <v>462</v>
      </c>
    </row>
    <row r="306" spans="1:2" x14ac:dyDescent="0.35">
      <c r="A306" t="s">
        <v>351</v>
      </c>
      <c r="B306" t="s">
        <v>461</v>
      </c>
    </row>
    <row r="307" spans="1:2" x14ac:dyDescent="0.35">
      <c r="A307" t="s">
        <v>352</v>
      </c>
      <c r="B307">
        <v>10</v>
      </c>
    </row>
    <row r="308" spans="1:2" x14ac:dyDescent="0.35">
      <c r="A308" t="s">
        <v>353</v>
      </c>
      <c r="B308" t="s">
        <v>461</v>
      </c>
    </row>
    <row r="309" spans="1:2" x14ac:dyDescent="0.35">
      <c r="A309" t="s">
        <v>354</v>
      </c>
      <c r="B309">
        <v>10</v>
      </c>
    </row>
    <row r="310" spans="1:2" x14ac:dyDescent="0.35">
      <c r="A310" t="s">
        <v>355</v>
      </c>
      <c r="B310" t="s">
        <v>350</v>
      </c>
    </row>
    <row r="311" spans="1:2" x14ac:dyDescent="0.35">
      <c r="A311" t="s">
        <v>356</v>
      </c>
      <c r="B311" t="s">
        <v>461</v>
      </c>
    </row>
    <row r="312" spans="1:2" x14ac:dyDescent="0.35">
      <c r="A312" t="s">
        <v>357</v>
      </c>
      <c r="B312">
        <v>10</v>
      </c>
    </row>
    <row r="313" spans="1:2" x14ac:dyDescent="0.35">
      <c r="A313" t="s">
        <v>358</v>
      </c>
      <c r="B313" t="s">
        <v>347</v>
      </c>
    </row>
    <row r="314" spans="1:2" x14ac:dyDescent="0.35">
      <c r="A314" t="s">
        <v>359</v>
      </c>
      <c r="B314">
        <v>9</v>
      </c>
    </row>
    <row r="315" spans="1:2" x14ac:dyDescent="0.35">
      <c r="A315" t="s">
        <v>360</v>
      </c>
      <c r="B315" t="s">
        <v>530</v>
      </c>
    </row>
    <row r="316" spans="1:2" x14ac:dyDescent="0.35">
      <c r="A316" t="s">
        <v>361</v>
      </c>
      <c r="B316" t="s">
        <v>459</v>
      </c>
    </row>
    <row r="317" spans="1:2" x14ac:dyDescent="0.35">
      <c r="A317" t="s">
        <v>362</v>
      </c>
      <c r="B317" t="s">
        <v>465</v>
      </c>
    </row>
    <row r="318" spans="1:2" x14ac:dyDescent="0.35">
      <c r="A318" t="s">
        <v>363</v>
      </c>
      <c r="B318" t="s">
        <v>459</v>
      </c>
    </row>
    <row r="319" spans="1:2" x14ac:dyDescent="0.35">
      <c r="A319" t="s">
        <v>364</v>
      </c>
      <c r="B319" t="s">
        <v>531</v>
      </c>
    </row>
    <row r="320" spans="1:2" x14ac:dyDescent="0.35">
      <c r="A320" t="s">
        <v>365</v>
      </c>
      <c r="B320" t="s">
        <v>459</v>
      </c>
    </row>
    <row r="321" spans="1:2" x14ac:dyDescent="0.35">
      <c r="A321" t="s">
        <v>366</v>
      </c>
      <c r="B321" t="s">
        <v>367</v>
      </c>
    </row>
    <row r="322" spans="1:2" x14ac:dyDescent="0.35">
      <c r="A322" t="s">
        <v>368</v>
      </c>
      <c r="B322" t="s">
        <v>459</v>
      </c>
    </row>
    <row r="323" spans="1:2" x14ac:dyDescent="0.35">
      <c r="A323" t="s">
        <v>369</v>
      </c>
      <c r="B323" t="s">
        <v>467</v>
      </c>
    </row>
    <row r="324" spans="1:2" x14ac:dyDescent="0.35">
      <c r="A324" t="s">
        <v>370</v>
      </c>
      <c r="B324" t="s">
        <v>459</v>
      </c>
    </row>
    <row r="325" spans="1:2" x14ac:dyDescent="0.35">
      <c r="A325" t="s">
        <v>371</v>
      </c>
    </row>
    <row r="326" spans="1:2" x14ac:dyDescent="0.35">
      <c r="A326" t="s">
        <v>372</v>
      </c>
      <c r="B326" t="s">
        <v>373</v>
      </c>
    </row>
    <row r="327" spans="1:2" x14ac:dyDescent="0.35">
      <c r="A327" t="s">
        <v>374</v>
      </c>
      <c r="B327" t="s">
        <v>375</v>
      </c>
    </row>
    <row r="328" spans="1:2" x14ac:dyDescent="0.35">
      <c r="A328" t="s">
        <v>376</v>
      </c>
      <c r="B328" t="s">
        <v>377</v>
      </c>
    </row>
    <row r="329" spans="1:2" x14ac:dyDescent="0.35">
      <c r="A329" t="s">
        <v>378</v>
      </c>
      <c r="B329" t="s">
        <v>379</v>
      </c>
    </row>
    <row r="330" spans="1:2" x14ac:dyDescent="0.35">
      <c r="A330" t="s">
        <v>380</v>
      </c>
      <c r="B330" t="s">
        <v>381</v>
      </c>
    </row>
    <row r="331" spans="1:2" x14ac:dyDescent="0.35">
      <c r="A331" t="s">
        <v>382</v>
      </c>
      <c r="B331" t="s">
        <v>383</v>
      </c>
    </row>
    <row r="332" spans="1:2" x14ac:dyDescent="0.35">
      <c r="A332" t="s">
        <v>384</v>
      </c>
    </row>
    <row r="333" spans="1:2" x14ac:dyDescent="0.35">
      <c r="A333" t="s">
        <v>385</v>
      </c>
      <c r="B333" t="s">
        <v>386</v>
      </c>
    </row>
    <row r="334" spans="1:2" x14ac:dyDescent="0.35">
      <c r="A334" t="s">
        <v>387</v>
      </c>
      <c r="B334">
        <v>12</v>
      </c>
    </row>
    <row r="335" spans="1:2" x14ac:dyDescent="0.35">
      <c r="A335" t="s">
        <v>388</v>
      </c>
      <c r="B335" t="s">
        <v>389</v>
      </c>
    </row>
    <row r="336" spans="1:2" x14ac:dyDescent="0.35">
      <c r="A336" t="s">
        <v>390</v>
      </c>
      <c r="B336" t="s">
        <v>389</v>
      </c>
    </row>
    <row r="337" spans="1:2" x14ac:dyDescent="0.35">
      <c r="A337" t="s">
        <v>391</v>
      </c>
      <c r="B337" t="s">
        <v>389</v>
      </c>
    </row>
    <row r="338" spans="1:2" x14ac:dyDescent="0.35">
      <c r="A338" t="s">
        <v>392</v>
      </c>
      <c r="B338" t="s">
        <v>468</v>
      </c>
    </row>
    <row r="339" spans="1:2" x14ac:dyDescent="0.35">
      <c r="A339" t="s">
        <v>393</v>
      </c>
      <c r="B339" t="s">
        <v>394</v>
      </c>
    </row>
    <row r="340" spans="1:2" x14ac:dyDescent="0.35">
      <c r="A340" t="s">
        <v>395</v>
      </c>
      <c r="B340">
        <v>1</v>
      </c>
    </row>
    <row r="341" spans="1:2" x14ac:dyDescent="0.35">
      <c r="A341" t="s">
        <v>396</v>
      </c>
      <c r="B341" t="s">
        <v>389</v>
      </c>
    </row>
    <row r="342" spans="1:2" x14ac:dyDescent="0.35">
      <c r="A342" t="s">
        <v>397</v>
      </c>
    </row>
    <row r="343" spans="1:2" x14ac:dyDescent="0.35">
      <c r="A343" t="s">
        <v>398</v>
      </c>
      <c r="B343">
        <v>100</v>
      </c>
    </row>
    <row r="344" spans="1:2" x14ac:dyDescent="0.35">
      <c r="A344" t="s">
        <v>399</v>
      </c>
      <c r="B344">
        <v>100</v>
      </c>
    </row>
    <row r="345" spans="1:2" x14ac:dyDescent="0.35">
      <c r="A345" t="s">
        <v>400</v>
      </c>
      <c r="B345">
        <v>100</v>
      </c>
    </row>
    <row r="346" spans="1:2" x14ac:dyDescent="0.35">
      <c r="A346" t="s">
        <v>401</v>
      </c>
      <c r="B346">
        <v>100</v>
      </c>
    </row>
    <row r="347" spans="1:2" x14ac:dyDescent="0.35">
      <c r="A347" t="s">
        <v>402</v>
      </c>
      <c r="B347">
        <v>0</v>
      </c>
    </row>
    <row r="348" spans="1:2" x14ac:dyDescent="0.35">
      <c r="A348" t="s">
        <v>403</v>
      </c>
      <c r="B348">
        <v>5</v>
      </c>
    </row>
    <row r="349" spans="1:2" x14ac:dyDescent="0.35">
      <c r="A349" t="s">
        <v>404</v>
      </c>
      <c r="B349">
        <v>4</v>
      </c>
    </row>
    <row r="350" spans="1:2" x14ac:dyDescent="0.35">
      <c r="A350" t="s">
        <v>405</v>
      </c>
      <c r="B350">
        <v>0</v>
      </c>
    </row>
    <row r="351" spans="1:2" x14ac:dyDescent="0.35">
      <c r="A351" t="s">
        <v>406</v>
      </c>
      <c r="B351">
        <v>0</v>
      </c>
    </row>
    <row r="352" spans="1:2" x14ac:dyDescent="0.35">
      <c r="A352" t="s">
        <v>407</v>
      </c>
      <c r="B352">
        <v>1</v>
      </c>
    </row>
    <row r="353" spans="1:2" x14ac:dyDescent="0.35">
      <c r="A353" t="s">
        <v>408</v>
      </c>
      <c r="B353">
        <v>1</v>
      </c>
    </row>
    <row r="354" spans="1:2" x14ac:dyDescent="0.35">
      <c r="A354" t="s">
        <v>409</v>
      </c>
      <c r="B354">
        <v>5</v>
      </c>
    </row>
    <row r="355" spans="1:2" x14ac:dyDescent="0.35">
      <c r="A355" t="s">
        <v>410</v>
      </c>
      <c r="B355">
        <v>5</v>
      </c>
    </row>
    <row r="356" spans="1:2" x14ac:dyDescent="0.35">
      <c r="A356" t="s">
        <v>411</v>
      </c>
      <c r="B356">
        <v>100</v>
      </c>
    </row>
    <row r="357" spans="1:2" x14ac:dyDescent="0.35">
      <c r="A357" t="s">
        <v>412</v>
      </c>
      <c r="B357">
        <v>2</v>
      </c>
    </row>
    <row r="358" spans="1:2" x14ac:dyDescent="0.35">
      <c r="A358" t="s">
        <v>413</v>
      </c>
      <c r="B358">
        <v>4</v>
      </c>
    </row>
    <row r="359" spans="1:2" x14ac:dyDescent="0.35">
      <c r="A359" t="s">
        <v>414</v>
      </c>
      <c r="B359">
        <v>0</v>
      </c>
    </row>
    <row r="360" spans="1:2" x14ac:dyDescent="0.35">
      <c r="A360" t="s">
        <v>415</v>
      </c>
      <c r="B360">
        <v>100</v>
      </c>
    </row>
    <row r="361" spans="1:2" x14ac:dyDescent="0.35">
      <c r="A361" t="s">
        <v>416</v>
      </c>
      <c r="B361">
        <v>5</v>
      </c>
    </row>
    <row r="362" spans="1:2" x14ac:dyDescent="0.35">
      <c r="A362" t="s">
        <v>417</v>
      </c>
      <c r="B362">
        <v>75</v>
      </c>
    </row>
    <row r="363" spans="1:2" x14ac:dyDescent="0.35">
      <c r="A363" t="s">
        <v>418</v>
      </c>
      <c r="B363">
        <v>1</v>
      </c>
    </row>
    <row r="364" spans="1:2" x14ac:dyDescent="0.35">
      <c r="A364" t="s">
        <v>419</v>
      </c>
      <c r="B364">
        <v>1</v>
      </c>
    </row>
    <row r="365" spans="1:2" x14ac:dyDescent="0.35">
      <c r="A365" t="s">
        <v>420</v>
      </c>
      <c r="B365">
        <v>0</v>
      </c>
    </row>
    <row r="366" spans="1:2" x14ac:dyDescent="0.35">
      <c r="A366" t="s">
        <v>421</v>
      </c>
      <c r="B366">
        <v>0</v>
      </c>
    </row>
    <row r="367" spans="1:2" x14ac:dyDescent="0.35">
      <c r="A367" t="s">
        <v>422</v>
      </c>
      <c r="B367">
        <v>1</v>
      </c>
    </row>
    <row r="368" spans="1:2" x14ac:dyDescent="0.35">
      <c r="A368" t="s">
        <v>423</v>
      </c>
      <c r="B368">
        <v>0</v>
      </c>
    </row>
    <row r="369" spans="1:2" x14ac:dyDescent="0.35">
      <c r="A369" t="s">
        <v>424</v>
      </c>
      <c r="B369">
        <v>0</v>
      </c>
    </row>
    <row r="370" spans="1:2" x14ac:dyDescent="0.35">
      <c r="A370" t="s">
        <v>425</v>
      </c>
      <c r="B370">
        <v>0</v>
      </c>
    </row>
    <row r="371" spans="1:2" x14ac:dyDescent="0.35">
      <c r="A371" t="s">
        <v>426</v>
      </c>
      <c r="B371">
        <v>0</v>
      </c>
    </row>
    <row r="372" spans="1:2" x14ac:dyDescent="0.35">
      <c r="A372" t="s">
        <v>427</v>
      </c>
      <c r="B372">
        <v>100</v>
      </c>
    </row>
    <row r="373" spans="1:2" x14ac:dyDescent="0.35">
      <c r="A373" t="s">
        <v>428</v>
      </c>
      <c r="B373">
        <v>0</v>
      </c>
    </row>
    <row r="374" spans="1:2" x14ac:dyDescent="0.35">
      <c r="A374" t="s">
        <v>429</v>
      </c>
      <c r="B374">
        <v>0</v>
      </c>
    </row>
    <row r="375" spans="1:2" x14ac:dyDescent="0.35">
      <c r="A375" t="s">
        <v>430</v>
      </c>
      <c r="B375">
        <v>0</v>
      </c>
    </row>
    <row r="376" spans="1:2" x14ac:dyDescent="0.35">
      <c r="A376" t="s">
        <v>431</v>
      </c>
      <c r="B376">
        <v>0</v>
      </c>
    </row>
    <row r="377" spans="1:2" x14ac:dyDescent="0.35">
      <c r="A377" t="s">
        <v>432</v>
      </c>
      <c r="B377">
        <v>0</v>
      </c>
    </row>
    <row r="378" spans="1:2" x14ac:dyDescent="0.35">
      <c r="A378" t="s">
        <v>433</v>
      </c>
      <c r="B378">
        <v>0</v>
      </c>
    </row>
    <row r="379" spans="1:2" x14ac:dyDescent="0.35">
      <c r="A379" t="s">
        <v>434</v>
      </c>
    </row>
    <row r="380" spans="1:2" x14ac:dyDescent="0.35">
      <c r="A380" t="s">
        <v>435</v>
      </c>
      <c r="B380">
        <v>2</v>
      </c>
    </row>
    <row r="381" spans="1:2" x14ac:dyDescent="0.35">
      <c r="A381" t="s">
        <v>436</v>
      </c>
      <c r="B381">
        <v>3</v>
      </c>
    </row>
    <row r="382" spans="1:2" x14ac:dyDescent="0.35">
      <c r="A382" t="s">
        <v>437</v>
      </c>
      <c r="B382">
        <v>3</v>
      </c>
    </row>
    <row r="383" spans="1:2" x14ac:dyDescent="0.35">
      <c r="A383" t="s">
        <v>438</v>
      </c>
      <c r="B383">
        <v>7</v>
      </c>
    </row>
    <row r="384" spans="1:2" x14ac:dyDescent="0.35">
      <c r="A384" t="s">
        <v>439</v>
      </c>
      <c r="B384">
        <v>2</v>
      </c>
    </row>
    <row r="385" spans="1:2" x14ac:dyDescent="0.35">
      <c r="A385" t="s">
        <v>440</v>
      </c>
      <c r="B385">
        <v>4</v>
      </c>
    </row>
    <row r="386" spans="1:2" x14ac:dyDescent="0.35">
      <c r="A386" t="s">
        <v>441</v>
      </c>
      <c r="B386">
        <v>2</v>
      </c>
    </row>
    <row r="387" spans="1:2" x14ac:dyDescent="0.35">
      <c r="A387" t="s">
        <v>442</v>
      </c>
      <c r="B387">
        <v>5</v>
      </c>
    </row>
    <row r="388" spans="1:2" x14ac:dyDescent="0.35">
      <c r="A388" t="s">
        <v>443</v>
      </c>
      <c r="B388">
        <v>6</v>
      </c>
    </row>
    <row r="389" spans="1:2" x14ac:dyDescent="0.35">
      <c r="A389" t="s">
        <v>444</v>
      </c>
      <c r="B389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7B755-D722-4BDA-B52A-C4D02C2D4762}">
  <sheetPr codeName="Sheet2"/>
  <dimension ref="A1:B389"/>
  <sheetViews>
    <sheetView topLeftCell="A23" workbookViewId="0">
      <selection activeCell="A43" sqref="A43"/>
    </sheetView>
  </sheetViews>
  <sheetFormatPr defaultRowHeight="14.5" x14ac:dyDescent="0.35"/>
  <cols>
    <col min="1" max="1" width="27.7265625" bestFit="1" customWidth="1"/>
    <col min="2" max="2" width="31.81640625" bestFit="1" customWidth="1"/>
  </cols>
  <sheetData>
    <row r="1" spans="1:2" x14ac:dyDescent="0.35">
      <c r="A1" t="s">
        <v>0</v>
      </c>
    </row>
    <row r="2" spans="1:2" x14ac:dyDescent="0.35">
      <c r="A2" t="s">
        <v>1</v>
      </c>
      <c r="B2" t="s">
        <v>539</v>
      </c>
    </row>
    <row r="3" spans="1:2" x14ac:dyDescent="0.35">
      <c r="A3" t="s">
        <v>2</v>
      </c>
    </row>
    <row r="4" spans="1:2" x14ac:dyDescent="0.35">
      <c r="A4" t="s">
        <v>3</v>
      </c>
    </row>
    <row r="5" spans="1:2" x14ac:dyDescent="0.35">
      <c r="A5" t="s">
        <v>4</v>
      </c>
    </row>
    <row r="6" spans="1:2" x14ac:dyDescent="0.35">
      <c r="A6" t="s">
        <v>5</v>
      </c>
    </row>
    <row r="7" spans="1:2" x14ac:dyDescent="0.35">
      <c r="A7" t="s">
        <v>6</v>
      </c>
    </row>
    <row r="8" spans="1:2" x14ac:dyDescent="0.35">
      <c r="A8" t="s">
        <v>7</v>
      </c>
    </row>
    <row r="9" spans="1:2" x14ac:dyDescent="0.35">
      <c r="A9" t="s">
        <v>8</v>
      </c>
    </row>
    <row r="10" spans="1:2" x14ac:dyDescent="0.35">
      <c r="A10" t="s">
        <v>9</v>
      </c>
    </row>
    <row r="11" spans="1:2" x14ac:dyDescent="0.35">
      <c r="A11" t="s">
        <v>10</v>
      </c>
    </row>
    <row r="12" spans="1:2" x14ac:dyDescent="0.35">
      <c r="A12" t="s">
        <v>11</v>
      </c>
    </row>
    <row r="13" spans="1:2" x14ac:dyDescent="0.35">
      <c r="A13" t="s">
        <v>12</v>
      </c>
    </row>
    <row r="14" spans="1:2" x14ac:dyDescent="0.35">
      <c r="A14" t="s">
        <v>13</v>
      </c>
    </row>
    <row r="15" spans="1:2" x14ac:dyDescent="0.35">
      <c r="A15" t="s">
        <v>14</v>
      </c>
    </row>
    <row r="16" spans="1:2" x14ac:dyDescent="0.35">
      <c r="A16" t="s">
        <v>15</v>
      </c>
    </row>
    <row r="17" spans="1:2" x14ac:dyDescent="0.35">
      <c r="A17" t="s">
        <v>16</v>
      </c>
    </row>
    <row r="18" spans="1:2" x14ac:dyDescent="0.35">
      <c r="A18" t="s">
        <v>17</v>
      </c>
    </row>
    <row r="19" spans="1:2" x14ac:dyDescent="0.35">
      <c r="A19" t="s">
        <v>18</v>
      </c>
    </row>
    <row r="20" spans="1:2" x14ac:dyDescent="0.35">
      <c r="A20" t="s">
        <v>19</v>
      </c>
    </row>
    <row r="21" spans="1:2" x14ac:dyDescent="0.35">
      <c r="A21" t="s">
        <v>20</v>
      </c>
    </row>
    <row r="22" spans="1:2" x14ac:dyDescent="0.35">
      <c r="A22" t="s">
        <v>21</v>
      </c>
      <c r="B22" t="s">
        <v>22</v>
      </c>
    </row>
    <row r="23" spans="1:2" x14ac:dyDescent="0.35">
      <c r="A23" t="s">
        <v>23</v>
      </c>
      <c r="B23" t="s">
        <v>24</v>
      </c>
    </row>
    <row r="24" spans="1:2" x14ac:dyDescent="0.35">
      <c r="A24" t="s">
        <v>25</v>
      </c>
      <c r="B24" t="s">
        <v>26</v>
      </c>
    </row>
    <row r="25" spans="1:2" x14ac:dyDescent="0.35">
      <c r="A25" t="s">
        <v>27</v>
      </c>
      <c r="B25" t="s">
        <v>445</v>
      </c>
    </row>
    <row r="26" spans="1:2" x14ac:dyDescent="0.35">
      <c r="A26" t="s">
        <v>29</v>
      </c>
      <c r="B26">
        <v>0</v>
      </c>
    </row>
    <row r="27" spans="1:2" x14ac:dyDescent="0.35">
      <c r="A27" t="s">
        <v>30</v>
      </c>
      <c r="B27">
        <v>0</v>
      </c>
    </row>
    <row r="28" spans="1:2" x14ac:dyDescent="0.35">
      <c r="A28" t="s">
        <v>31</v>
      </c>
      <c r="B28">
        <v>0</v>
      </c>
    </row>
    <row r="29" spans="1:2" x14ac:dyDescent="0.35">
      <c r="A29" t="s">
        <v>32</v>
      </c>
      <c r="B29">
        <v>1</v>
      </c>
    </row>
    <row r="30" spans="1:2" x14ac:dyDescent="0.35">
      <c r="A30" t="s">
        <v>33</v>
      </c>
      <c r="B30">
        <v>0</v>
      </c>
    </row>
    <row r="31" spans="1:2" x14ac:dyDescent="0.35">
      <c r="A31" t="s">
        <v>34</v>
      </c>
      <c r="B31">
        <v>1</v>
      </c>
    </row>
    <row r="32" spans="1:2" x14ac:dyDescent="0.35">
      <c r="A32" t="s">
        <v>35</v>
      </c>
      <c r="B32">
        <v>0</v>
      </c>
    </row>
    <row r="33" spans="1:2" x14ac:dyDescent="0.35">
      <c r="A33" t="s">
        <v>36</v>
      </c>
      <c r="B33">
        <v>0</v>
      </c>
    </row>
    <row r="34" spans="1:2" x14ac:dyDescent="0.35">
      <c r="A34" t="s">
        <v>37</v>
      </c>
      <c r="B34">
        <v>0</v>
      </c>
    </row>
    <row r="35" spans="1:2" x14ac:dyDescent="0.35">
      <c r="A35" t="s">
        <v>38</v>
      </c>
      <c r="B35">
        <v>1</v>
      </c>
    </row>
    <row r="36" spans="1:2" x14ac:dyDescent="0.35">
      <c r="A36" t="s">
        <v>39</v>
      </c>
      <c r="B36">
        <v>0</v>
      </c>
    </row>
    <row r="37" spans="1:2" x14ac:dyDescent="0.35">
      <c r="A37" t="s">
        <v>40</v>
      </c>
      <c r="B37">
        <v>1</v>
      </c>
    </row>
    <row r="38" spans="1:2" x14ac:dyDescent="0.35">
      <c r="A38" t="s">
        <v>41</v>
      </c>
      <c r="B38">
        <v>0</v>
      </c>
    </row>
    <row r="39" spans="1:2" x14ac:dyDescent="0.35">
      <c r="A39" t="s">
        <v>42</v>
      </c>
      <c r="B39">
        <v>0</v>
      </c>
    </row>
    <row r="40" spans="1:2" x14ac:dyDescent="0.35">
      <c r="A40" t="s">
        <v>43</v>
      </c>
      <c r="B40">
        <v>0</v>
      </c>
    </row>
    <row r="41" spans="1:2" x14ac:dyDescent="0.35">
      <c r="A41" t="s">
        <v>44</v>
      </c>
      <c r="B41">
        <v>1</v>
      </c>
    </row>
    <row r="42" spans="1:2" x14ac:dyDescent="0.35">
      <c r="A42" t="s">
        <v>45</v>
      </c>
      <c r="B42">
        <v>0</v>
      </c>
    </row>
    <row r="43" spans="1:2" x14ac:dyDescent="0.35">
      <c r="A43" t="s">
        <v>46</v>
      </c>
      <c r="B43">
        <v>1</v>
      </c>
    </row>
    <row r="44" spans="1:2" x14ac:dyDescent="0.35">
      <c r="A44" t="s">
        <v>47</v>
      </c>
      <c r="B44">
        <v>0</v>
      </c>
    </row>
    <row r="45" spans="1:2" x14ac:dyDescent="0.35">
      <c r="A45" t="s">
        <v>48</v>
      </c>
      <c r="B45">
        <v>0</v>
      </c>
    </row>
    <row r="46" spans="1:2" x14ac:dyDescent="0.35">
      <c r="A46" t="s">
        <v>49</v>
      </c>
      <c r="B46">
        <v>0</v>
      </c>
    </row>
    <row r="47" spans="1:2" x14ac:dyDescent="0.35">
      <c r="A47" t="s">
        <v>50</v>
      </c>
      <c r="B47">
        <v>1</v>
      </c>
    </row>
    <row r="48" spans="1:2" x14ac:dyDescent="0.35">
      <c r="A48" t="s">
        <v>51</v>
      </c>
      <c r="B48">
        <v>0</v>
      </c>
    </row>
    <row r="49" spans="1:2" x14ac:dyDescent="0.35">
      <c r="A49" t="s">
        <v>52</v>
      </c>
      <c r="B49">
        <v>1</v>
      </c>
    </row>
    <row r="50" spans="1:2" x14ac:dyDescent="0.35">
      <c r="A50" t="s">
        <v>53</v>
      </c>
      <c r="B50">
        <v>0</v>
      </c>
    </row>
    <row r="51" spans="1:2" x14ac:dyDescent="0.35">
      <c r="A51" t="s">
        <v>54</v>
      </c>
      <c r="B51">
        <v>0</v>
      </c>
    </row>
    <row r="52" spans="1:2" x14ac:dyDescent="0.35">
      <c r="A52" t="s">
        <v>55</v>
      </c>
      <c r="B52">
        <v>0</v>
      </c>
    </row>
    <row r="53" spans="1:2" x14ac:dyDescent="0.35">
      <c r="A53" t="s">
        <v>56</v>
      </c>
      <c r="B53">
        <v>1</v>
      </c>
    </row>
    <row r="54" spans="1:2" x14ac:dyDescent="0.35">
      <c r="A54" t="s">
        <v>57</v>
      </c>
      <c r="B54">
        <v>0</v>
      </c>
    </row>
    <row r="55" spans="1:2" x14ac:dyDescent="0.35">
      <c r="A55" t="s">
        <v>58</v>
      </c>
      <c r="B55">
        <v>1</v>
      </c>
    </row>
    <row r="56" spans="1:2" x14ac:dyDescent="0.35">
      <c r="A56" t="s">
        <v>59</v>
      </c>
      <c r="B56">
        <v>0</v>
      </c>
    </row>
    <row r="57" spans="1:2" x14ac:dyDescent="0.35">
      <c r="A57" t="s">
        <v>60</v>
      </c>
      <c r="B57">
        <v>0</v>
      </c>
    </row>
    <row r="58" spans="1:2" x14ac:dyDescent="0.35">
      <c r="A58" t="s">
        <v>61</v>
      </c>
      <c r="B58">
        <v>0</v>
      </c>
    </row>
    <row r="59" spans="1:2" x14ac:dyDescent="0.35">
      <c r="A59" t="s">
        <v>62</v>
      </c>
      <c r="B59">
        <v>1</v>
      </c>
    </row>
    <row r="60" spans="1:2" x14ac:dyDescent="0.35">
      <c r="A60" t="s">
        <v>63</v>
      </c>
      <c r="B60">
        <v>0</v>
      </c>
    </row>
    <row r="61" spans="1:2" x14ac:dyDescent="0.35">
      <c r="A61" t="s">
        <v>64</v>
      </c>
      <c r="B61">
        <v>1</v>
      </c>
    </row>
    <row r="62" spans="1:2" x14ac:dyDescent="0.35">
      <c r="A62" t="s">
        <v>65</v>
      </c>
    </row>
    <row r="63" spans="1:2" x14ac:dyDescent="0.35">
      <c r="A63" t="s">
        <v>66</v>
      </c>
      <c r="B63" t="s">
        <v>67</v>
      </c>
    </row>
    <row r="64" spans="1:2" x14ac:dyDescent="0.35">
      <c r="A64" t="s">
        <v>68</v>
      </c>
      <c r="B64" t="s">
        <v>69</v>
      </c>
    </row>
    <row r="65" spans="1:2" x14ac:dyDescent="0.35">
      <c r="A65" t="s">
        <v>70</v>
      </c>
      <c r="B65">
        <v>15</v>
      </c>
    </row>
    <row r="66" spans="1:2" x14ac:dyDescent="0.35">
      <c r="A66" t="s">
        <v>71</v>
      </c>
    </row>
    <row r="67" spans="1:2" x14ac:dyDescent="0.35">
      <c r="A67" t="s">
        <v>72</v>
      </c>
    </row>
    <row r="68" spans="1:2" x14ac:dyDescent="0.35">
      <c r="A68" t="s">
        <v>73</v>
      </c>
    </row>
    <row r="69" spans="1:2" x14ac:dyDescent="0.35">
      <c r="A69" t="s">
        <v>74</v>
      </c>
    </row>
    <row r="70" spans="1:2" x14ac:dyDescent="0.35">
      <c r="A70" t="s">
        <v>75</v>
      </c>
      <c r="B70" t="s">
        <v>76</v>
      </c>
    </row>
    <row r="71" spans="1:2" x14ac:dyDescent="0.35">
      <c r="A71" t="s">
        <v>77</v>
      </c>
      <c r="B71" t="s">
        <v>78</v>
      </c>
    </row>
    <row r="72" spans="1:2" x14ac:dyDescent="0.35">
      <c r="A72" t="s">
        <v>79</v>
      </c>
      <c r="B72">
        <v>15</v>
      </c>
    </row>
    <row r="73" spans="1:2" x14ac:dyDescent="0.35">
      <c r="A73" t="s">
        <v>80</v>
      </c>
      <c r="B73" t="s">
        <v>81</v>
      </c>
    </row>
    <row r="74" spans="1:2" x14ac:dyDescent="0.35">
      <c r="A74" t="s">
        <v>82</v>
      </c>
      <c r="B74">
        <v>14</v>
      </c>
    </row>
    <row r="75" spans="1:2" x14ac:dyDescent="0.35">
      <c r="A75" t="s">
        <v>83</v>
      </c>
    </row>
    <row r="76" spans="1:2" x14ac:dyDescent="0.35">
      <c r="A76" t="s">
        <v>84</v>
      </c>
    </row>
    <row r="77" spans="1:2" x14ac:dyDescent="0.35">
      <c r="A77" t="s">
        <v>85</v>
      </c>
      <c r="B77" t="s">
        <v>86</v>
      </c>
    </row>
    <row r="78" spans="1:2" x14ac:dyDescent="0.35">
      <c r="A78" t="s">
        <v>87</v>
      </c>
      <c r="B78" t="s">
        <v>69</v>
      </c>
    </row>
    <row r="79" spans="1:2" x14ac:dyDescent="0.35">
      <c r="A79" t="s">
        <v>88</v>
      </c>
      <c r="B79">
        <v>15</v>
      </c>
    </row>
    <row r="80" spans="1:2" x14ac:dyDescent="0.35">
      <c r="A80" t="s">
        <v>89</v>
      </c>
    </row>
    <row r="81" spans="1:2" x14ac:dyDescent="0.35">
      <c r="A81" t="s">
        <v>90</v>
      </c>
    </row>
    <row r="82" spans="1:2" x14ac:dyDescent="0.35">
      <c r="A82" t="s">
        <v>91</v>
      </c>
    </row>
    <row r="83" spans="1:2" x14ac:dyDescent="0.35">
      <c r="A83" t="s">
        <v>92</v>
      </c>
    </row>
    <row r="84" spans="1:2" x14ac:dyDescent="0.35">
      <c r="A84" t="s">
        <v>93</v>
      </c>
      <c r="B84" t="s">
        <v>94</v>
      </c>
    </row>
    <row r="85" spans="1:2" x14ac:dyDescent="0.35">
      <c r="A85" t="s">
        <v>95</v>
      </c>
      <c r="B85" t="s">
        <v>446</v>
      </c>
    </row>
    <row r="86" spans="1:2" x14ac:dyDescent="0.35">
      <c r="A86" t="s">
        <v>96</v>
      </c>
      <c r="B86">
        <v>9</v>
      </c>
    </row>
    <row r="87" spans="1:2" x14ac:dyDescent="0.35">
      <c r="A87" t="s">
        <v>97</v>
      </c>
      <c r="B87" t="s">
        <v>98</v>
      </c>
    </row>
    <row r="88" spans="1:2" x14ac:dyDescent="0.35">
      <c r="A88" t="s">
        <v>99</v>
      </c>
      <c r="B88">
        <v>14</v>
      </c>
    </row>
    <row r="89" spans="1:2" x14ac:dyDescent="0.35">
      <c r="A89" t="s">
        <v>100</v>
      </c>
      <c r="B89" t="s">
        <v>101</v>
      </c>
    </row>
    <row r="90" spans="1:2" x14ac:dyDescent="0.35">
      <c r="A90" t="s">
        <v>102</v>
      </c>
      <c r="B90">
        <v>15</v>
      </c>
    </row>
    <row r="91" spans="1:2" x14ac:dyDescent="0.35">
      <c r="A91" t="s">
        <v>103</v>
      </c>
      <c r="B91" t="s">
        <v>104</v>
      </c>
    </row>
    <row r="92" spans="1:2" x14ac:dyDescent="0.35">
      <c r="A92" t="s">
        <v>105</v>
      </c>
      <c r="B92" t="s">
        <v>446</v>
      </c>
    </row>
    <row r="93" spans="1:2" x14ac:dyDescent="0.35">
      <c r="A93" t="s">
        <v>106</v>
      </c>
      <c r="B93">
        <v>9</v>
      </c>
    </row>
    <row r="94" spans="1:2" x14ac:dyDescent="0.35">
      <c r="A94" t="s">
        <v>107</v>
      </c>
      <c r="B94" t="s">
        <v>108</v>
      </c>
    </row>
    <row r="95" spans="1:2" x14ac:dyDescent="0.35">
      <c r="A95" t="s">
        <v>109</v>
      </c>
      <c r="B95">
        <v>15</v>
      </c>
    </row>
    <row r="96" spans="1:2" x14ac:dyDescent="0.35">
      <c r="A96" t="s">
        <v>110</v>
      </c>
    </row>
    <row r="97" spans="1:2" x14ac:dyDescent="0.35">
      <c r="A97" t="s">
        <v>111</v>
      </c>
    </row>
    <row r="98" spans="1:2" x14ac:dyDescent="0.35">
      <c r="A98" t="s">
        <v>112</v>
      </c>
      <c r="B98" t="s">
        <v>113</v>
      </c>
    </row>
    <row r="99" spans="1:2" x14ac:dyDescent="0.35">
      <c r="A99" t="s">
        <v>114</v>
      </c>
      <c r="B99" t="s">
        <v>69</v>
      </c>
    </row>
    <row r="100" spans="1:2" x14ac:dyDescent="0.35">
      <c r="A100" t="s">
        <v>115</v>
      </c>
      <c r="B100">
        <v>15</v>
      </c>
    </row>
    <row r="101" spans="1:2" x14ac:dyDescent="0.35">
      <c r="A101" t="s">
        <v>116</v>
      </c>
    </row>
    <row r="102" spans="1:2" x14ac:dyDescent="0.35">
      <c r="A102" t="s">
        <v>117</v>
      </c>
    </row>
    <row r="103" spans="1:2" x14ac:dyDescent="0.35">
      <c r="A103" t="s">
        <v>118</v>
      </c>
    </row>
    <row r="104" spans="1:2" x14ac:dyDescent="0.35">
      <c r="A104" t="s">
        <v>119</v>
      </c>
    </row>
    <row r="105" spans="1:2" x14ac:dyDescent="0.35">
      <c r="A105" t="s">
        <v>120</v>
      </c>
      <c r="B105" t="s">
        <v>121</v>
      </c>
    </row>
    <row r="106" spans="1:2" x14ac:dyDescent="0.35">
      <c r="A106" t="s">
        <v>122</v>
      </c>
      <c r="B106" t="s">
        <v>69</v>
      </c>
    </row>
    <row r="107" spans="1:2" x14ac:dyDescent="0.35">
      <c r="A107" t="s">
        <v>123</v>
      </c>
      <c r="B107">
        <v>15</v>
      </c>
    </row>
    <row r="108" spans="1:2" x14ac:dyDescent="0.35">
      <c r="A108" t="s">
        <v>124</v>
      </c>
      <c r="B108" t="s">
        <v>447</v>
      </c>
    </row>
    <row r="109" spans="1:2" x14ac:dyDescent="0.35">
      <c r="A109" t="s">
        <v>125</v>
      </c>
      <c r="B109">
        <v>10</v>
      </c>
    </row>
    <row r="110" spans="1:2" x14ac:dyDescent="0.35">
      <c r="A110" t="s">
        <v>126</v>
      </c>
    </row>
    <row r="111" spans="1:2" x14ac:dyDescent="0.35">
      <c r="A111" t="s">
        <v>127</v>
      </c>
    </row>
    <row r="112" spans="1:2" x14ac:dyDescent="0.35">
      <c r="A112" t="s">
        <v>128</v>
      </c>
      <c r="B112" t="s">
        <v>129</v>
      </c>
    </row>
    <row r="113" spans="1:2" x14ac:dyDescent="0.35">
      <c r="A113" t="s">
        <v>130</v>
      </c>
      <c r="B113" t="s">
        <v>447</v>
      </c>
    </row>
    <row r="114" spans="1:2" x14ac:dyDescent="0.35">
      <c r="A114" t="s">
        <v>131</v>
      </c>
      <c r="B114">
        <v>10</v>
      </c>
    </row>
    <row r="115" spans="1:2" x14ac:dyDescent="0.35">
      <c r="A115" t="s">
        <v>132</v>
      </c>
      <c r="B115" t="s">
        <v>446</v>
      </c>
    </row>
    <row r="116" spans="1:2" x14ac:dyDescent="0.35">
      <c r="A116" t="s">
        <v>133</v>
      </c>
      <c r="B116">
        <v>9</v>
      </c>
    </row>
    <row r="117" spans="1:2" x14ac:dyDescent="0.35">
      <c r="A117" t="s">
        <v>134</v>
      </c>
    </row>
    <row r="118" spans="1:2" x14ac:dyDescent="0.35">
      <c r="A118" t="s">
        <v>135</v>
      </c>
    </row>
    <row r="119" spans="1:2" x14ac:dyDescent="0.35">
      <c r="A119" t="s">
        <v>136</v>
      </c>
      <c r="B119" t="s">
        <v>137</v>
      </c>
    </row>
    <row r="120" spans="1:2" x14ac:dyDescent="0.35">
      <c r="A120" t="s">
        <v>138</v>
      </c>
      <c r="B120" t="s">
        <v>446</v>
      </c>
    </row>
    <row r="121" spans="1:2" x14ac:dyDescent="0.35">
      <c r="A121" t="s">
        <v>139</v>
      </c>
      <c r="B121">
        <v>9</v>
      </c>
    </row>
    <row r="122" spans="1:2" x14ac:dyDescent="0.35">
      <c r="A122" t="s">
        <v>140</v>
      </c>
      <c r="B122" t="s">
        <v>448</v>
      </c>
    </row>
    <row r="123" spans="1:2" x14ac:dyDescent="0.35">
      <c r="A123" t="s">
        <v>141</v>
      </c>
      <c r="B123">
        <v>11</v>
      </c>
    </row>
    <row r="124" spans="1:2" x14ac:dyDescent="0.35">
      <c r="A124" t="s">
        <v>142</v>
      </c>
    </row>
    <row r="125" spans="1:2" x14ac:dyDescent="0.35">
      <c r="A125" t="s">
        <v>143</v>
      </c>
    </row>
    <row r="126" spans="1:2" x14ac:dyDescent="0.35">
      <c r="A126" t="s">
        <v>144</v>
      </c>
      <c r="B126" t="s">
        <v>145</v>
      </c>
    </row>
    <row r="127" spans="1:2" x14ac:dyDescent="0.35">
      <c r="A127" t="s">
        <v>146</v>
      </c>
      <c r="B127" t="s">
        <v>69</v>
      </c>
    </row>
    <row r="128" spans="1:2" x14ac:dyDescent="0.35">
      <c r="A128" t="s">
        <v>147</v>
      </c>
      <c r="B128">
        <v>15</v>
      </c>
    </row>
    <row r="129" spans="1:2" x14ac:dyDescent="0.35">
      <c r="A129" t="s">
        <v>148</v>
      </c>
      <c r="B129" t="s">
        <v>78</v>
      </c>
    </row>
    <row r="130" spans="1:2" x14ac:dyDescent="0.35">
      <c r="A130" t="s">
        <v>149</v>
      </c>
      <c r="B130">
        <v>15</v>
      </c>
    </row>
    <row r="131" spans="1:2" x14ac:dyDescent="0.35">
      <c r="A131" t="s">
        <v>150</v>
      </c>
    </row>
    <row r="132" spans="1:2" x14ac:dyDescent="0.35">
      <c r="A132" t="s">
        <v>151</v>
      </c>
    </row>
    <row r="133" spans="1:2" x14ac:dyDescent="0.35">
      <c r="A133" t="s">
        <v>152</v>
      </c>
      <c r="B133" t="s">
        <v>449</v>
      </c>
    </row>
    <row r="134" spans="1:2" x14ac:dyDescent="0.35">
      <c r="A134" t="s">
        <v>153</v>
      </c>
      <c r="B134" t="s">
        <v>446</v>
      </c>
    </row>
    <row r="135" spans="1:2" x14ac:dyDescent="0.35">
      <c r="A135" t="s">
        <v>154</v>
      </c>
      <c r="B135">
        <v>9</v>
      </c>
    </row>
    <row r="136" spans="1:2" x14ac:dyDescent="0.35">
      <c r="A136" t="s">
        <v>155</v>
      </c>
    </row>
    <row r="137" spans="1:2" x14ac:dyDescent="0.35">
      <c r="A137" t="s">
        <v>156</v>
      </c>
    </row>
    <row r="138" spans="1:2" x14ac:dyDescent="0.35">
      <c r="A138" t="s">
        <v>157</v>
      </c>
    </row>
    <row r="139" spans="1:2" x14ac:dyDescent="0.35">
      <c r="A139" t="s">
        <v>158</v>
      </c>
    </row>
    <row r="140" spans="1:2" x14ac:dyDescent="0.35">
      <c r="A140" t="s">
        <v>159</v>
      </c>
      <c r="B140" t="s">
        <v>450</v>
      </c>
    </row>
    <row r="141" spans="1:2" x14ac:dyDescent="0.35">
      <c r="A141" t="s">
        <v>160</v>
      </c>
      <c r="B141" t="s">
        <v>78</v>
      </c>
    </row>
    <row r="142" spans="1:2" x14ac:dyDescent="0.35">
      <c r="A142" t="s">
        <v>161</v>
      </c>
      <c r="B142">
        <v>15</v>
      </c>
    </row>
    <row r="143" spans="1:2" x14ac:dyDescent="0.35">
      <c r="A143" t="s">
        <v>162</v>
      </c>
    </row>
    <row r="144" spans="1:2" x14ac:dyDescent="0.35">
      <c r="A144" t="s">
        <v>163</v>
      </c>
    </row>
    <row r="145" spans="1:2" x14ac:dyDescent="0.35">
      <c r="A145" t="s">
        <v>164</v>
      </c>
    </row>
    <row r="146" spans="1:2" x14ac:dyDescent="0.35">
      <c r="A146" t="s">
        <v>165</v>
      </c>
    </row>
    <row r="147" spans="1:2" x14ac:dyDescent="0.35">
      <c r="A147" t="s">
        <v>166</v>
      </c>
      <c r="B147" t="s">
        <v>451</v>
      </c>
    </row>
    <row r="148" spans="1:2" x14ac:dyDescent="0.35">
      <c r="A148" t="s">
        <v>167</v>
      </c>
      <c r="B148">
        <v>44</v>
      </c>
    </row>
    <row r="149" spans="1:2" x14ac:dyDescent="0.35">
      <c r="A149" t="s">
        <v>168</v>
      </c>
      <c r="B149" t="s">
        <v>451</v>
      </c>
    </row>
    <row r="150" spans="1:2" x14ac:dyDescent="0.35">
      <c r="A150" t="s">
        <v>169</v>
      </c>
      <c r="B150">
        <v>44</v>
      </c>
    </row>
    <row r="151" spans="1:2" x14ac:dyDescent="0.35">
      <c r="A151" t="s">
        <v>170</v>
      </c>
      <c r="B151" t="s">
        <v>452</v>
      </c>
    </row>
    <row r="152" spans="1:2" x14ac:dyDescent="0.35">
      <c r="A152" t="s">
        <v>171</v>
      </c>
      <c r="B152">
        <v>44</v>
      </c>
    </row>
    <row r="153" spans="1:2" x14ac:dyDescent="0.35">
      <c r="A153" t="s">
        <v>172</v>
      </c>
    </row>
    <row r="154" spans="1:2" x14ac:dyDescent="0.35">
      <c r="A154" t="s">
        <v>173</v>
      </c>
      <c r="B154">
        <v>0</v>
      </c>
    </row>
    <row r="155" spans="1:2" x14ac:dyDescent="0.35">
      <c r="A155" t="s">
        <v>174</v>
      </c>
    </row>
    <row r="156" spans="1:2" x14ac:dyDescent="0.35">
      <c r="A156" t="s">
        <v>175</v>
      </c>
      <c r="B156">
        <v>0</v>
      </c>
    </row>
    <row r="157" spans="1:2" x14ac:dyDescent="0.35">
      <c r="A157" t="s">
        <v>176</v>
      </c>
      <c r="B157" t="s">
        <v>453</v>
      </c>
    </row>
    <row r="158" spans="1:2" x14ac:dyDescent="0.35">
      <c r="A158" t="s">
        <v>177</v>
      </c>
      <c r="B158">
        <v>44</v>
      </c>
    </row>
    <row r="159" spans="1:2" x14ac:dyDescent="0.35">
      <c r="A159" t="s">
        <v>178</v>
      </c>
      <c r="B159" t="s">
        <v>179</v>
      </c>
    </row>
    <row r="160" spans="1:2" x14ac:dyDescent="0.35">
      <c r="A160" t="s">
        <v>180</v>
      </c>
      <c r="B160">
        <v>44</v>
      </c>
    </row>
    <row r="161" spans="1:2" x14ac:dyDescent="0.35">
      <c r="A161" t="s">
        <v>181</v>
      </c>
      <c r="B161" t="s">
        <v>179</v>
      </c>
    </row>
    <row r="162" spans="1:2" x14ac:dyDescent="0.35">
      <c r="A162" t="s">
        <v>182</v>
      </c>
      <c r="B162">
        <v>44</v>
      </c>
    </row>
    <row r="163" spans="1:2" x14ac:dyDescent="0.35">
      <c r="A163" t="s">
        <v>183</v>
      </c>
      <c r="B163" t="s">
        <v>179</v>
      </c>
    </row>
    <row r="164" spans="1:2" x14ac:dyDescent="0.35">
      <c r="A164" t="s">
        <v>184</v>
      </c>
      <c r="B164">
        <v>44</v>
      </c>
    </row>
    <row r="165" spans="1:2" x14ac:dyDescent="0.35">
      <c r="A165" t="s">
        <v>185</v>
      </c>
      <c r="B165" t="s">
        <v>179</v>
      </c>
    </row>
    <row r="166" spans="1:2" x14ac:dyDescent="0.35">
      <c r="A166" t="s">
        <v>186</v>
      </c>
      <c r="B166">
        <v>44</v>
      </c>
    </row>
    <row r="167" spans="1:2" x14ac:dyDescent="0.35">
      <c r="A167" t="s">
        <v>187</v>
      </c>
    </row>
    <row r="168" spans="1:2" x14ac:dyDescent="0.35">
      <c r="A168" t="s">
        <v>188</v>
      </c>
      <c r="B168">
        <v>0</v>
      </c>
    </row>
    <row r="169" spans="1:2" x14ac:dyDescent="0.35">
      <c r="A169" t="s">
        <v>189</v>
      </c>
    </row>
    <row r="170" spans="1:2" x14ac:dyDescent="0.35">
      <c r="A170" t="s">
        <v>190</v>
      </c>
      <c r="B170">
        <v>0</v>
      </c>
    </row>
    <row r="171" spans="1:2" x14ac:dyDescent="0.35">
      <c r="A171" t="s">
        <v>191</v>
      </c>
      <c r="B171" t="s">
        <v>454</v>
      </c>
    </row>
    <row r="172" spans="1:2" x14ac:dyDescent="0.35">
      <c r="A172" t="s">
        <v>192</v>
      </c>
      <c r="B172" t="s">
        <v>452</v>
      </c>
    </row>
    <row r="173" spans="1:2" x14ac:dyDescent="0.35">
      <c r="A173" t="s">
        <v>193</v>
      </c>
      <c r="B173">
        <v>2151</v>
      </c>
    </row>
    <row r="174" spans="1:2" x14ac:dyDescent="0.35">
      <c r="A174" t="s">
        <v>194</v>
      </c>
      <c r="B174" t="s">
        <v>195</v>
      </c>
    </row>
    <row r="175" spans="1:2" x14ac:dyDescent="0.35">
      <c r="A175" t="s">
        <v>196</v>
      </c>
      <c r="B175" t="s">
        <v>197</v>
      </c>
    </row>
    <row r="176" spans="1:2" x14ac:dyDescent="0.35">
      <c r="A176" t="s">
        <v>198</v>
      </c>
      <c r="B176" t="s">
        <v>199</v>
      </c>
    </row>
    <row r="177" spans="1:2" x14ac:dyDescent="0.35">
      <c r="A177" t="s">
        <v>200</v>
      </c>
      <c r="B177" t="s">
        <v>201</v>
      </c>
    </row>
    <row r="178" spans="1:2" x14ac:dyDescent="0.35">
      <c r="A178" t="s">
        <v>202</v>
      </c>
    </row>
    <row r="179" spans="1:2" x14ac:dyDescent="0.35">
      <c r="A179" t="s">
        <v>203</v>
      </c>
      <c r="B179">
        <v>5</v>
      </c>
    </row>
    <row r="180" spans="1:2" x14ac:dyDescent="0.35">
      <c r="A180" t="s">
        <v>204</v>
      </c>
      <c r="B180">
        <v>5</v>
      </c>
    </row>
    <row r="181" spans="1:2" x14ac:dyDescent="0.35">
      <c r="A181" t="s">
        <v>205</v>
      </c>
      <c r="B181">
        <v>0</v>
      </c>
    </row>
    <row r="182" spans="1:2" x14ac:dyDescent="0.35">
      <c r="A182" t="s">
        <v>206</v>
      </c>
      <c r="B182">
        <v>5</v>
      </c>
    </row>
    <row r="183" spans="1:2" x14ac:dyDescent="0.35">
      <c r="A183" t="s">
        <v>207</v>
      </c>
      <c r="B183">
        <v>0</v>
      </c>
    </row>
    <row r="184" spans="1:2" x14ac:dyDescent="0.35">
      <c r="A184" t="s">
        <v>208</v>
      </c>
      <c r="B184">
        <v>0</v>
      </c>
    </row>
    <row r="185" spans="1:2" x14ac:dyDescent="0.35">
      <c r="A185" t="s">
        <v>209</v>
      </c>
      <c r="B185">
        <v>5</v>
      </c>
    </row>
    <row r="186" spans="1:2" x14ac:dyDescent="0.35">
      <c r="A186" t="s">
        <v>210</v>
      </c>
      <c r="B186">
        <v>5</v>
      </c>
    </row>
    <row r="187" spans="1:2" x14ac:dyDescent="0.35">
      <c r="A187" t="s">
        <v>211</v>
      </c>
      <c r="B187">
        <v>5</v>
      </c>
    </row>
    <row r="188" spans="1:2" x14ac:dyDescent="0.35">
      <c r="A188" t="s">
        <v>212</v>
      </c>
      <c r="B188">
        <v>2</v>
      </c>
    </row>
    <row r="189" spans="1:2" x14ac:dyDescent="0.35">
      <c r="A189" t="s">
        <v>213</v>
      </c>
      <c r="B189">
        <v>0</v>
      </c>
    </row>
    <row r="190" spans="1:2" x14ac:dyDescent="0.35">
      <c r="A190" t="s">
        <v>214</v>
      </c>
      <c r="B190">
        <v>5</v>
      </c>
    </row>
    <row r="191" spans="1:2" x14ac:dyDescent="0.35">
      <c r="A191" t="s">
        <v>215</v>
      </c>
      <c r="B191">
        <v>0</v>
      </c>
    </row>
    <row r="192" spans="1:2" x14ac:dyDescent="0.35">
      <c r="A192" t="s">
        <v>216</v>
      </c>
      <c r="B192">
        <v>5</v>
      </c>
    </row>
    <row r="193" spans="1:2" x14ac:dyDescent="0.35">
      <c r="A193" t="s">
        <v>217</v>
      </c>
      <c r="B193">
        <v>5</v>
      </c>
    </row>
    <row r="194" spans="1:2" x14ac:dyDescent="0.35">
      <c r="A194" t="s">
        <v>218</v>
      </c>
      <c r="B194">
        <v>5</v>
      </c>
    </row>
    <row r="195" spans="1:2" x14ac:dyDescent="0.35">
      <c r="A195" t="s">
        <v>219</v>
      </c>
      <c r="B195">
        <v>0</v>
      </c>
    </row>
    <row r="196" spans="1:2" x14ac:dyDescent="0.35">
      <c r="A196" t="s">
        <v>220</v>
      </c>
      <c r="B196">
        <v>0</v>
      </c>
    </row>
    <row r="197" spans="1:2" x14ac:dyDescent="0.35">
      <c r="A197" t="s">
        <v>221</v>
      </c>
      <c r="B197">
        <v>5</v>
      </c>
    </row>
    <row r="198" spans="1:2" x14ac:dyDescent="0.35">
      <c r="A198" t="s">
        <v>222</v>
      </c>
      <c r="B198">
        <v>0</v>
      </c>
    </row>
    <row r="199" spans="1:2" x14ac:dyDescent="0.35">
      <c r="A199" t="s">
        <v>223</v>
      </c>
      <c r="B199">
        <v>0</v>
      </c>
    </row>
    <row r="200" spans="1:2" x14ac:dyDescent="0.35">
      <c r="A200" t="s">
        <v>224</v>
      </c>
      <c r="B200">
        <v>5</v>
      </c>
    </row>
    <row r="201" spans="1:2" x14ac:dyDescent="0.35">
      <c r="A201" t="s">
        <v>225</v>
      </c>
      <c r="B201">
        <v>0</v>
      </c>
    </row>
    <row r="202" spans="1:2" x14ac:dyDescent="0.35">
      <c r="A202" t="s">
        <v>226</v>
      </c>
      <c r="B202">
        <v>0</v>
      </c>
    </row>
    <row r="203" spans="1:2" x14ac:dyDescent="0.35">
      <c r="A203" t="s">
        <v>227</v>
      </c>
      <c r="B203">
        <v>5</v>
      </c>
    </row>
    <row r="204" spans="1:2" x14ac:dyDescent="0.35">
      <c r="A204" t="s">
        <v>228</v>
      </c>
      <c r="B204">
        <v>0</v>
      </c>
    </row>
    <row r="205" spans="1:2" x14ac:dyDescent="0.35">
      <c r="A205" t="s">
        <v>229</v>
      </c>
      <c r="B205">
        <v>0</v>
      </c>
    </row>
    <row r="206" spans="1:2" x14ac:dyDescent="0.35">
      <c r="A206" t="s">
        <v>230</v>
      </c>
      <c r="B206">
        <v>0</v>
      </c>
    </row>
    <row r="207" spans="1:2" x14ac:dyDescent="0.35">
      <c r="A207" t="s">
        <v>231</v>
      </c>
      <c r="B207">
        <v>4</v>
      </c>
    </row>
    <row r="208" spans="1:2" x14ac:dyDescent="0.35">
      <c r="A208" t="s">
        <v>232</v>
      </c>
      <c r="B208">
        <v>0</v>
      </c>
    </row>
    <row r="209" spans="1:2" x14ac:dyDescent="0.35">
      <c r="A209" t="s">
        <v>233</v>
      </c>
      <c r="B209">
        <v>0</v>
      </c>
    </row>
    <row r="210" spans="1:2" x14ac:dyDescent="0.35">
      <c r="A210" t="s">
        <v>234</v>
      </c>
      <c r="B210">
        <v>4</v>
      </c>
    </row>
    <row r="211" spans="1:2" x14ac:dyDescent="0.35">
      <c r="A211" t="s">
        <v>235</v>
      </c>
      <c r="B211">
        <v>0</v>
      </c>
    </row>
    <row r="212" spans="1:2" x14ac:dyDescent="0.35">
      <c r="A212" t="s">
        <v>236</v>
      </c>
      <c r="B212">
        <v>0</v>
      </c>
    </row>
    <row r="213" spans="1:2" x14ac:dyDescent="0.35">
      <c r="A213" t="s">
        <v>237</v>
      </c>
      <c r="B213">
        <v>0</v>
      </c>
    </row>
    <row r="214" spans="1:2" x14ac:dyDescent="0.35">
      <c r="A214" t="s">
        <v>238</v>
      </c>
      <c r="B214">
        <v>0</v>
      </c>
    </row>
    <row r="215" spans="1:2" x14ac:dyDescent="0.35">
      <c r="A215" t="s">
        <v>239</v>
      </c>
      <c r="B215">
        <v>3</v>
      </c>
    </row>
    <row r="216" spans="1:2" x14ac:dyDescent="0.35">
      <c r="A216" t="s">
        <v>240</v>
      </c>
      <c r="B216">
        <v>0</v>
      </c>
    </row>
    <row r="217" spans="1:2" x14ac:dyDescent="0.35">
      <c r="A217" t="s">
        <v>241</v>
      </c>
      <c r="B217">
        <v>0</v>
      </c>
    </row>
    <row r="218" spans="1:2" x14ac:dyDescent="0.35">
      <c r="A218" t="s">
        <v>242</v>
      </c>
      <c r="B218">
        <v>0</v>
      </c>
    </row>
    <row r="219" spans="1:2" x14ac:dyDescent="0.35">
      <c r="A219" t="s">
        <v>243</v>
      </c>
      <c r="B219">
        <v>0</v>
      </c>
    </row>
    <row r="220" spans="1:2" x14ac:dyDescent="0.35">
      <c r="A220" t="s">
        <v>244</v>
      </c>
      <c r="B220">
        <v>0</v>
      </c>
    </row>
    <row r="221" spans="1:2" x14ac:dyDescent="0.35">
      <c r="A221" t="s">
        <v>245</v>
      </c>
      <c r="B221" t="s">
        <v>455</v>
      </c>
    </row>
    <row r="222" spans="1:2" x14ac:dyDescent="0.35">
      <c r="A222" t="s">
        <v>246</v>
      </c>
      <c r="B222" t="s">
        <v>247</v>
      </c>
    </row>
    <row r="223" spans="1:2" x14ac:dyDescent="0.35">
      <c r="A223" t="s">
        <v>248</v>
      </c>
      <c r="B223" t="s">
        <v>249</v>
      </c>
    </row>
    <row r="224" spans="1:2" x14ac:dyDescent="0.35">
      <c r="A224" t="s">
        <v>250</v>
      </c>
    </row>
    <row r="225" spans="1:2" x14ac:dyDescent="0.35">
      <c r="A225" t="s">
        <v>251</v>
      </c>
      <c r="B225" t="s">
        <v>252</v>
      </c>
    </row>
    <row r="226" spans="1:2" x14ac:dyDescent="0.35">
      <c r="A226" t="s">
        <v>253</v>
      </c>
      <c r="B226" t="s">
        <v>254</v>
      </c>
    </row>
    <row r="227" spans="1:2" x14ac:dyDescent="0.35">
      <c r="A227" t="s">
        <v>255</v>
      </c>
      <c r="B227" t="s">
        <v>256</v>
      </c>
    </row>
    <row r="228" spans="1:2" x14ac:dyDescent="0.35">
      <c r="A228" t="s">
        <v>257</v>
      </c>
      <c r="B228" t="s">
        <v>258</v>
      </c>
    </row>
    <row r="229" spans="1:2" x14ac:dyDescent="0.35">
      <c r="A229" t="s">
        <v>259</v>
      </c>
      <c r="B229" t="s">
        <v>254</v>
      </c>
    </row>
    <row r="230" spans="1:2" x14ac:dyDescent="0.35">
      <c r="A230" t="s">
        <v>260</v>
      </c>
      <c r="B230" t="s">
        <v>256</v>
      </c>
    </row>
    <row r="231" spans="1:2" x14ac:dyDescent="0.35">
      <c r="A231" t="s">
        <v>261</v>
      </c>
      <c r="B231" t="s">
        <v>258</v>
      </c>
    </row>
    <row r="232" spans="1:2" x14ac:dyDescent="0.35">
      <c r="A232" t="s">
        <v>262</v>
      </c>
      <c r="B232" t="s">
        <v>254</v>
      </c>
    </row>
    <row r="233" spans="1:2" x14ac:dyDescent="0.35">
      <c r="A233" t="s">
        <v>263</v>
      </c>
      <c r="B233" t="s">
        <v>256</v>
      </c>
    </row>
    <row r="234" spans="1:2" x14ac:dyDescent="0.35">
      <c r="A234" t="s">
        <v>264</v>
      </c>
      <c r="B234" t="s">
        <v>265</v>
      </c>
    </row>
    <row r="235" spans="1:2" x14ac:dyDescent="0.35">
      <c r="A235" t="s">
        <v>266</v>
      </c>
      <c r="B235" t="s">
        <v>267</v>
      </c>
    </row>
    <row r="236" spans="1:2" x14ac:dyDescent="0.35">
      <c r="A236" t="s">
        <v>268</v>
      </c>
      <c r="B236" t="s">
        <v>254</v>
      </c>
    </row>
    <row r="237" spans="1:2" x14ac:dyDescent="0.35">
      <c r="A237" t="s">
        <v>269</v>
      </c>
      <c r="B237" t="s">
        <v>256</v>
      </c>
    </row>
    <row r="238" spans="1:2" x14ac:dyDescent="0.35">
      <c r="A238" t="s">
        <v>270</v>
      </c>
      <c r="B238" t="s">
        <v>265</v>
      </c>
    </row>
    <row r="239" spans="1:2" x14ac:dyDescent="0.35">
      <c r="A239" t="s">
        <v>271</v>
      </c>
      <c r="B239" t="s">
        <v>456</v>
      </c>
    </row>
    <row r="240" spans="1:2" x14ac:dyDescent="0.35">
      <c r="A240" t="s">
        <v>273</v>
      </c>
      <c r="B240" t="s">
        <v>256</v>
      </c>
    </row>
    <row r="241" spans="1:2" x14ac:dyDescent="0.35">
      <c r="A241" t="s">
        <v>274</v>
      </c>
      <c r="B241" t="s">
        <v>275</v>
      </c>
    </row>
    <row r="242" spans="1:2" x14ac:dyDescent="0.35">
      <c r="A242" t="s">
        <v>276</v>
      </c>
      <c r="B242" t="s">
        <v>254</v>
      </c>
    </row>
    <row r="243" spans="1:2" x14ac:dyDescent="0.35">
      <c r="A243" t="s">
        <v>277</v>
      </c>
      <c r="B243" t="s">
        <v>256</v>
      </c>
    </row>
    <row r="244" spans="1:2" x14ac:dyDescent="0.35">
      <c r="A244" t="s">
        <v>278</v>
      </c>
      <c r="B244" t="s">
        <v>258</v>
      </c>
    </row>
    <row r="245" spans="1:2" x14ac:dyDescent="0.35">
      <c r="A245" t="s">
        <v>279</v>
      </c>
      <c r="B245" t="s">
        <v>280</v>
      </c>
    </row>
    <row r="246" spans="1:2" x14ac:dyDescent="0.35">
      <c r="A246" t="s">
        <v>281</v>
      </c>
      <c r="B246" t="s">
        <v>456</v>
      </c>
    </row>
    <row r="247" spans="1:2" x14ac:dyDescent="0.35">
      <c r="A247" t="s">
        <v>282</v>
      </c>
      <c r="B247" t="s">
        <v>256</v>
      </c>
    </row>
    <row r="248" spans="1:2" x14ac:dyDescent="0.35">
      <c r="A248" t="s">
        <v>283</v>
      </c>
      <c r="B248" t="s">
        <v>275</v>
      </c>
    </row>
    <row r="249" spans="1:2" x14ac:dyDescent="0.35">
      <c r="A249" t="s">
        <v>284</v>
      </c>
      <c r="B249" t="s">
        <v>456</v>
      </c>
    </row>
    <row r="250" spans="1:2" x14ac:dyDescent="0.35">
      <c r="A250" t="s">
        <v>285</v>
      </c>
      <c r="B250" t="s">
        <v>256</v>
      </c>
    </row>
    <row r="251" spans="1:2" x14ac:dyDescent="0.35">
      <c r="A251" t="s">
        <v>286</v>
      </c>
      <c r="B251" t="s">
        <v>287</v>
      </c>
    </row>
    <row r="252" spans="1:2" x14ac:dyDescent="0.35">
      <c r="A252" t="s">
        <v>288</v>
      </c>
      <c r="B252" t="s">
        <v>456</v>
      </c>
    </row>
    <row r="253" spans="1:2" x14ac:dyDescent="0.35">
      <c r="A253" t="s">
        <v>289</v>
      </c>
      <c r="B253" t="s">
        <v>256</v>
      </c>
    </row>
    <row r="254" spans="1:2" x14ac:dyDescent="0.35">
      <c r="A254" t="s">
        <v>290</v>
      </c>
      <c r="B254" t="s">
        <v>275</v>
      </c>
    </row>
    <row r="255" spans="1:2" x14ac:dyDescent="0.35">
      <c r="A255" t="s">
        <v>291</v>
      </c>
      <c r="B255" t="s">
        <v>292</v>
      </c>
    </row>
    <row r="256" spans="1:2" x14ac:dyDescent="0.35">
      <c r="A256" t="s">
        <v>293</v>
      </c>
      <c r="B256" t="s">
        <v>254</v>
      </c>
    </row>
    <row r="257" spans="1:2" x14ac:dyDescent="0.35">
      <c r="A257" t="s">
        <v>294</v>
      </c>
      <c r="B257" t="s">
        <v>256</v>
      </c>
    </row>
    <row r="258" spans="1:2" x14ac:dyDescent="0.35">
      <c r="A258" t="s">
        <v>295</v>
      </c>
      <c r="B258" t="s">
        <v>258</v>
      </c>
    </row>
    <row r="259" spans="1:2" x14ac:dyDescent="0.35">
      <c r="A259" t="s">
        <v>296</v>
      </c>
      <c r="B259" t="s">
        <v>456</v>
      </c>
    </row>
    <row r="260" spans="1:2" x14ac:dyDescent="0.35">
      <c r="A260" t="s">
        <v>297</v>
      </c>
      <c r="B260" t="s">
        <v>256</v>
      </c>
    </row>
    <row r="261" spans="1:2" x14ac:dyDescent="0.35">
      <c r="A261" t="s">
        <v>298</v>
      </c>
      <c r="B261" t="s">
        <v>275</v>
      </c>
    </row>
    <row r="262" spans="1:2" x14ac:dyDescent="0.35">
      <c r="A262" t="s">
        <v>299</v>
      </c>
      <c r="B262" t="s">
        <v>254</v>
      </c>
    </row>
    <row r="263" spans="1:2" x14ac:dyDescent="0.35">
      <c r="A263" t="s">
        <v>300</v>
      </c>
      <c r="B263" t="s">
        <v>256</v>
      </c>
    </row>
    <row r="264" spans="1:2" x14ac:dyDescent="0.35">
      <c r="A264" t="s">
        <v>301</v>
      </c>
      <c r="B264" t="s">
        <v>265</v>
      </c>
    </row>
    <row r="265" spans="1:2" x14ac:dyDescent="0.35">
      <c r="A265" t="s">
        <v>302</v>
      </c>
      <c r="B265" t="s">
        <v>303</v>
      </c>
    </row>
    <row r="266" spans="1:2" x14ac:dyDescent="0.35">
      <c r="A266" t="s">
        <v>304</v>
      </c>
      <c r="B266" t="s">
        <v>254</v>
      </c>
    </row>
    <row r="267" spans="1:2" x14ac:dyDescent="0.35">
      <c r="A267" t="s">
        <v>305</v>
      </c>
      <c r="B267" t="s">
        <v>256</v>
      </c>
    </row>
    <row r="268" spans="1:2" x14ac:dyDescent="0.35">
      <c r="A268" t="s">
        <v>306</v>
      </c>
      <c r="B268" t="s">
        <v>307</v>
      </c>
    </row>
    <row r="269" spans="1:2" x14ac:dyDescent="0.35">
      <c r="A269" t="s">
        <v>308</v>
      </c>
      <c r="B269" t="s">
        <v>254</v>
      </c>
    </row>
    <row r="270" spans="1:2" x14ac:dyDescent="0.35">
      <c r="A270" t="s">
        <v>309</v>
      </c>
      <c r="B270" t="s">
        <v>256</v>
      </c>
    </row>
    <row r="271" spans="1:2" x14ac:dyDescent="0.35">
      <c r="A271" t="s">
        <v>310</v>
      </c>
      <c r="B271" t="s">
        <v>265</v>
      </c>
    </row>
    <row r="272" spans="1:2" x14ac:dyDescent="0.35">
      <c r="A272" t="s">
        <v>311</v>
      </c>
      <c r="B272" t="s">
        <v>254</v>
      </c>
    </row>
    <row r="273" spans="1:2" x14ac:dyDescent="0.35">
      <c r="A273" t="s">
        <v>312</v>
      </c>
      <c r="B273" t="s">
        <v>256</v>
      </c>
    </row>
    <row r="274" spans="1:2" x14ac:dyDescent="0.35">
      <c r="A274" t="s">
        <v>313</v>
      </c>
      <c r="B274" t="s">
        <v>307</v>
      </c>
    </row>
    <row r="275" spans="1:2" x14ac:dyDescent="0.35">
      <c r="A275" t="s">
        <v>314</v>
      </c>
      <c r="B275">
        <v>4</v>
      </c>
    </row>
    <row r="276" spans="1:2" x14ac:dyDescent="0.35">
      <c r="A276" t="s">
        <v>315</v>
      </c>
      <c r="B276">
        <v>3</v>
      </c>
    </row>
    <row r="277" spans="1:2" x14ac:dyDescent="0.35">
      <c r="A277" t="s">
        <v>316</v>
      </c>
      <c r="B277">
        <v>3</v>
      </c>
    </row>
    <row r="278" spans="1:2" x14ac:dyDescent="0.35">
      <c r="A278" t="s">
        <v>317</v>
      </c>
      <c r="B278">
        <v>0</v>
      </c>
    </row>
    <row r="279" spans="1:2" x14ac:dyDescent="0.35">
      <c r="A279" t="s">
        <v>318</v>
      </c>
      <c r="B279">
        <v>0</v>
      </c>
    </row>
    <row r="280" spans="1:2" x14ac:dyDescent="0.35">
      <c r="A280" t="s">
        <v>319</v>
      </c>
      <c r="B280">
        <v>0</v>
      </c>
    </row>
    <row r="281" spans="1:2" x14ac:dyDescent="0.35">
      <c r="A281" t="s">
        <v>320</v>
      </c>
      <c r="B281" t="s">
        <v>321</v>
      </c>
    </row>
    <row r="282" spans="1:2" x14ac:dyDescent="0.35">
      <c r="A282" t="s">
        <v>322</v>
      </c>
      <c r="B282" t="s">
        <v>457</v>
      </c>
    </row>
    <row r="283" spans="1:2" x14ac:dyDescent="0.35">
      <c r="A283" t="s">
        <v>323</v>
      </c>
      <c r="B283">
        <v>5</v>
      </c>
    </row>
    <row r="284" spans="1:2" x14ac:dyDescent="0.35">
      <c r="A284" t="s">
        <v>324</v>
      </c>
      <c r="B284">
        <v>5</v>
      </c>
    </row>
    <row r="285" spans="1:2" x14ac:dyDescent="0.35">
      <c r="A285" t="s">
        <v>325</v>
      </c>
    </row>
    <row r="286" spans="1:2" x14ac:dyDescent="0.35">
      <c r="A286" t="s">
        <v>326</v>
      </c>
      <c r="B286" t="s">
        <v>327</v>
      </c>
    </row>
    <row r="287" spans="1:2" x14ac:dyDescent="0.35">
      <c r="A287" t="s">
        <v>328</v>
      </c>
    </row>
    <row r="288" spans="1:2" x14ac:dyDescent="0.35">
      <c r="A288" t="s">
        <v>329</v>
      </c>
    </row>
    <row r="289" spans="1:2" x14ac:dyDescent="0.35">
      <c r="A289" t="s">
        <v>330</v>
      </c>
      <c r="B289" t="s">
        <v>331</v>
      </c>
    </row>
    <row r="290" spans="1:2" x14ac:dyDescent="0.35">
      <c r="A290" t="s">
        <v>332</v>
      </c>
    </row>
    <row r="291" spans="1:2" x14ac:dyDescent="0.35">
      <c r="A291" t="s">
        <v>333</v>
      </c>
      <c r="B291" t="s">
        <v>458</v>
      </c>
    </row>
    <row r="292" spans="1:2" x14ac:dyDescent="0.35">
      <c r="A292" t="s">
        <v>334</v>
      </c>
      <c r="B292" t="s">
        <v>459</v>
      </c>
    </row>
    <row r="293" spans="1:2" x14ac:dyDescent="0.35">
      <c r="A293" t="s">
        <v>335</v>
      </c>
      <c r="B293" t="s">
        <v>460</v>
      </c>
    </row>
    <row r="294" spans="1:2" x14ac:dyDescent="0.35">
      <c r="A294" t="s">
        <v>336</v>
      </c>
      <c r="B294">
        <v>6</v>
      </c>
    </row>
    <row r="295" spans="1:2" x14ac:dyDescent="0.35">
      <c r="A295" t="s">
        <v>337</v>
      </c>
      <c r="B295">
        <v>3</v>
      </c>
    </row>
    <row r="296" spans="1:2" x14ac:dyDescent="0.35">
      <c r="A296" t="s">
        <v>338</v>
      </c>
      <c r="B296">
        <v>1</v>
      </c>
    </row>
    <row r="297" spans="1:2" x14ac:dyDescent="0.35">
      <c r="A297" t="s">
        <v>339</v>
      </c>
      <c r="B297">
        <v>0</v>
      </c>
    </row>
    <row r="298" spans="1:2" x14ac:dyDescent="0.35">
      <c r="A298" t="s">
        <v>340</v>
      </c>
      <c r="B298">
        <v>0</v>
      </c>
    </row>
    <row r="299" spans="1:2" x14ac:dyDescent="0.35">
      <c r="A299" t="s">
        <v>341</v>
      </c>
      <c r="B299">
        <v>0</v>
      </c>
    </row>
    <row r="300" spans="1:2" x14ac:dyDescent="0.35">
      <c r="A300" t="s">
        <v>342</v>
      </c>
      <c r="B300" t="s">
        <v>343</v>
      </c>
    </row>
    <row r="301" spans="1:2" x14ac:dyDescent="0.35">
      <c r="A301" t="s">
        <v>344</v>
      </c>
      <c r="B301" t="s">
        <v>461</v>
      </c>
    </row>
    <row r="302" spans="1:2" x14ac:dyDescent="0.35">
      <c r="A302" t="s">
        <v>345</v>
      </c>
      <c r="B302">
        <v>11</v>
      </c>
    </row>
    <row r="303" spans="1:2" x14ac:dyDescent="0.35">
      <c r="A303" t="s">
        <v>346</v>
      </c>
      <c r="B303" t="s">
        <v>347</v>
      </c>
    </row>
    <row r="304" spans="1:2" x14ac:dyDescent="0.35">
      <c r="A304" t="s">
        <v>348</v>
      </c>
      <c r="B304">
        <v>15</v>
      </c>
    </row>
    <row r="305" spans="1:2" x14ac:dyDescent="0.35">
      <c r="A305" t="s">
        <v>349</v>
      </c>
      <c r="B305" t="s">
        <v>462</v>
      </c>
    </row>
    <row r="306" spans="1:2" x14ac:dyDescent="0.35">
      <c r="A306" t="s">
        <v>351</v>
      </c>
      <c r="B306" t="s">
        <v>461</v>
      </c>
    </row>
    <row r="307" spans="1:2" x14ac:dyDescent="0.35">
      <c r="A307" t="s">
        <v>352</v>
      </c>
      <c r="B307">
        <v>11</v>
      </c>
    </row>
    <row r="308" spans="1:2" x14ac:dyDescent="0.35">
      <c r="A308" t="s">
        <v>353</v>
      </c>
      <c r="B308" t="s">
        <v>461</v>
      </c>
    </row>
    <row r="309" spans="1:2" x14ac:dyDescent="0.35">
      <c r="A309" t="s">
        <v>354</v>
      </c>
      <c r="B309">
        <v>11</v>
      </c>
    </row>
    <row r="310" spans="1:2" x14ac:dyDescent="0.35">
      <c r="A310" t="s">
        <v>355</v>
      </c>
      <c r="B310" t="s">
        <v>463</v>
      </c>
    </row>
    <row r="311" spans="1:2" x14ac:dyDescent="0.35">
      <c r="A311" t="s">
        <v>356</v>
      </c>
      <c r="B311" t="s">
        <v>347</v>
      </c>
    </row>
    <row r="312" spans="1:2" x14ac:dyDescent="0.35">
      <c r="A312" t="s">
        <v>357</v>
      </c>
      <c r="B312">
        <v>11</v>
      </c>
    </row>
    <row r="313" spans="1:2" x14ac:dyDescent="0.35">
      <c r="A313" t="s">
        <v>358</v>
      </c>
      <c r="B313" t="s">
        <v>347</v>
      </c>
    </row>
    <row r="314" spans="1:2" x14ac:dyDescent="0.35">
      <c r="A314" t="s">
        <v>359</v>
      </c>
      <c r="B314">
        <v>11</v>
      </c>
    </row>
    <row r="315" spans="1:2" x14ac:dyDescent="0.35">
      <c r="A315" t="s">
        <v>360</v>
      </c>
      <c r="B315" t="s">
        <v>464</v>
      </c>
    </row>
    <row r="316" spans="1:2" x14ac:dyDescent="0.35">
      <c r="A316" t="s">
        <v>361</v>
      </c>
      <c r="B316" t="s">
        <v>459</v>
      </c>
    </row>
    <row r="317" spans="1:2" x14ac:dyDescent="0.35">
      <c r="A317" t="s">
        <v>362</v>
      </c>
      <c r="B317" t="s">
        <v>465</v>
      </c>
    </row>
    <row r="318" spans="1:2" x14ac:dyDescent="0.35">
      <c r="A318" t="s">
        <v>363</v>
      </c>
      <c r="B318" t="s">
        <v>459</v>
      </c>
    </row>
    <row r="319" spans="1:2" x14ac:dyDescent="0.35">
      <c r="A319" t="s">
        <v>364</v>
      </c>
      <c r="B319" t="s">
        <v>466</v>
      </c>
    </row>
    <row r="320" spans="1:2" x14ac:dyDescent="0.35">
      <c r="A320" t="s">
        <v>365</v>
      </c>
      <c r="B320" t="s">
        <v>459</v>
      </c>
    </row>
    <row r="321" spans="1:2" x14ac:dyDescent="0.35">
      <c r="A321" t="s">
        <v>366</v>
      </c>
      <c r="B321" t="s">
        <v>367</v>
      </c>
    </row>
    <row r="322" spans="1:2" x14ac:dyDescent="0.35">
      <c r="A322" t="s">
        <v>368</v>
      </c>
      <c r="B322" t="s">
        <v>459</v>
      </c>
    </row>
    <row r="323" spans="1:2" x14ac:dyDescent="0.35">
      <c r="A323" t="s">
        <v>369</v>
      </c>
      <c r="B323" t="s">
        <v>467</v>
      </c>
    </row>
    <row r="324" spans="1:2" x14ac:dyDescent="0.35">
      <c r="A324" t="s">
        <v>370</v>
      </c>
      <c r="B324" t="s">
        <v>459</v>
      </c>
    </row>
    <row r="325" spans="1:2" x14ac:dyDescent="0.35">
      <c r="A325" t="s">
        <v>371</v>
      </c>
    </row>
    <row r="326" spans="1:2" x14ac:dyDescent="0.35">
      <c r="A326" t="s">
        <v>372</v>
      </c>
      <c r="B326" t="s">
        <v>373</v>
      </c>
    </row>
    <row r="327" spans="1:2" x14ac:dyDescent="0.35">
      <c r="A327" t="s">
        <v>374</v>
      </c>
      <c r="B327" t="s">
        <v>375</v>
      </c>
    </row>
    <row r="328" spans="1:2" x14ac:dyDescent="0.35">
      <c r="A328" t="s">
        <v>376</v>
      </c>
      <c r="B328" t="s">
        <v>377</v>
      </c>
    </row>
    <row r="329" spans="1:2" x14ac:dyDescent="0.35">
      <c r="A329" t="s">
        <v>378</v>
      </c>
      <c r="B329" t="s">
        <v>379</v>
      </c>
    </row>
    <row r="330" spans="1:2" x14ac:dyDescent="0.35">
      <c r="A330" t="s">
        <v>380</v>
      </c>
      <c r="B330" t="s">
        <v>381</v>
      </c>
    </row>
    <row r="331" spans="1:2" x14ac:dyDescent="0.35">
      <c r="A331" t="s">
        <v>382</v>
      </c>
      <c r="B331" t="s">
        <v>383</v>
      </c>
    </row>
    <row r="332" spans="1:2" x14ac:dyDescent="0.35">
      <c r="A332" t="s">
        <v>384</v>
      </c>
    </row>
    <row r="333" spans="1:2" x14ac:dyDescent="0.35">
      <c r="A333" t="s">
        <v>385</v>
      </c>
      <c r="B333" t="s">
        <v>386</v>
      </c>
    </row>
    <row r="334" spans="1:2" x14ac:dyDescent="0.35">
      <c r="A334" t="s">
        <v>387</v>
      </c>
      <c r="B334">
        <v>12</v>
      </c>
    </row>
    <row r="335" spans="1:2" x14ac:dyDescent="0.35">
      <c r="A335" t="s">
        <v>388</v>
      </c>
      <c r="B335" t="s">
        <v>389</v>
      </c>
    </row>
    <row r="336" spans="1:2" x14ac:dyDescent="0.35">
      <c r="A336" t="s">
        <v>390</v>
      </c>
      <c r="B336" t="s">
        <v>389</v>
      </c>
    </row>
    <row r="337" spans="1:2" x14ac:dyDescent="0.35">
      <c r="A337" t="s">
        <v>391</v>
      </c>
      <c r="B337" t="s">
        <v>389</v>
      </c>
    </row>
    <row r="338" spans="1:2" x14ac:dyDescent="0.35">
      <c r="A338" t="s">
        <v>392</v>
      </c>
      <c r="B338" t="s">
        <v>468</v>
      </c>
    </row>
    <row r="339" spans="1:2" x14ac:dyDescent="0.35">
      <c r="A339" t="s">
        <v>393</v>
      </c>
      <c r="B339" t="s">
        <v>394</v>
      </c>
    </row>
    <row r="340" spans="1:2" x14ac:dyDescent="0.35">
      <c r="A340" t="s">
        <v>395</v>
      </c>
      <c r="B340">
        <v>1</v>
      </c>
    </row>
    <row r="341" spans="1:2" x14ac:dyDescent="0.35">
      <c r="A341" t="s">
        <v>396</v>
      </c>
      <c r="B341" t="s">
        <v>389</v>
      </c>
    </row>
    <row r="342" spans="1:2" x14ac:dyDescent="0.35">
      <c r="A342" t="s">
        <v>397</v>
      </c>
    </row>
    <row r="343" spans="1:2" x14ac:dyDescent="0.35">
      <c r="A343" t="s">
        <v>398</v>
      </c>
      <c r="B343">
        <v>100</v>
      </c>
    </row>
    <row r="344" spans="1:2" x14ac:dyDescent="0.35">
      <c r="A344" t="s">
        <v>399</v>
      </c>
      <c r="B344">
        <v>100</v>
      </c>
    </row>
    <row r="345" spans="1:2" x14ac:dyDescent="0.35">
      <c r="A345" t="s">
        <v>400</v>
      </c>
      <c r="B345">
        <v>100</v>
      </c>
    </row>
    <row r="346" spans="1:2" x14ac:dyDescent="0.35">
      <c r="A346" t="s">
        <v>401</v>
      </c>
      <c r="B346">
        <v>100</v>
      </c>
    </row>
    <row r="347" spans="1:2" x14ac:dyDescent="0.35">
      <c r="A347" t="s">
        <v>402</v>
      </c>
      <c r="B347">
        <v>0</v>
      </c>
    </row>
    <row r="348" spans="1:2" x14ac:dyDescent="0.35">
      <c r="A348" t="s">
        <v>403</v>
      </c>
      <c r="B348">
        <v>5</v>
      </c>
    </row>
    <row r="349" spans="1:2" x14ac:dyDescent="0.35">
      <c r="A349" t="s">
        <v>404</v>
      </c>
      <c r="B349">
        <v>4</v>
      </c>
    </row>
    <row r="350" spans="1:2" x14ac:dyDescent="0.35">
      <c r="A350" t="s">
        <v>405</v>
      </c>
      <c r="B350">
        <v>0</v>
      </c>
    </row>
    <row r="351" spans="1:2" x14ac:dyDescent="0.35">
      <c r="A351" t="s">
        <v>406</v>
      </c>
      <c r="B351">
        <v>0</v>
      </c>
    </row>
    <row r="352" spans="1:2" x14ac:dyDescent="0.35">
      <c r="A352" t="s">
        <v>407</v>
      </c>
      <c r="B352">
        <v>1</v>
      </c>
    </row>
    <row r="353" spans="1:2" x14ac:dyDescent="0.35">
      <c r="A353" t="s">
        <v>408</v>
      </c>
      <c r="B353">
        <v>1</v>
      </c>
    </row>
    <row r="354" spans="1:2" x14ac:dyDescent="0.35">
      <c r="A354" t="s">
        <v>409</v>
      </c>
      <c r="B354">
        <v>5</v>
      </c>
    </row>
    <row r="355" spans="1:2" x14ac:dyDescent="0.35">
      <c r="A355" t="s">
        <v>410</v>
      </c>
      <c r="B355">
        <v>5</v>
      </c>
    </row>
    <row r="356" spans="1:2" x14ac:dyDescent="0.35">
      <c r="A356" t="s">
        <v>411</v>
      </c>
      <c r="B356">
        <v>100</v>
      </c>
    </row>
    <row r="357" spans="1:2" x14ac:dyDescent="0.35">
      <c r="A357" t="s">
        <v>412</v>
      </c>
      <c r="B357">
        <v>0</v>
      </c>
    </row>
    <row r="358" spans="1:2" x14ac:dyDescent="0.35">
      <c r="A358" t="s">
        <v>413</v>
      </c>
      <c r="B358">
        <v>0</v>
      </c>
    </row>
    <row r="359" spans="1:2" x14ac:dyDescent="0.35">
      <c r="A359" t="s">
        <v>414</v>
      </c>
      <c r="B359">
        <v>0</v>
      </c>
    </row>
    <row r="360" spans="1:2" x14ac:dyDescent="0.35">
      <c r="A360" t="s">
        <v>415</v>
      </c>
      <c r="B360">
        <v>100</v>
      </c>
    </row>
    <row r="361" spans="1:2" x14ac:dyDescent="0.35">
      <c r="A361" t="s">
        <v>416</v>
      </c>
      <c r="B361">
        <v>5</v>
      </c>
    </row>
    <row r="362" spans="1:2" x14ac:dyDescent="0.35">
      <c r="A362" t="s">
        <v>417</v>
      </c>
      <c r="B362">
        <v>75</v>
      </c>
    </row>
    <row r="363" spans="1:2" x14ac:dyDescent="0.35">
      <c r="A363" t="s">
        <v>418</v>
      </c>
      <c r="B363">
        <v>1</v>
      </c>
    </row>
    <row r="364" spans="1:2" x14ac:dyDescent="0.35">
      <c r="A364" t="s">
        <v>419</v>
      </c>
      <c r="B364">
        <v>1</v>
      </c>
    </row>
    <row r="365" spans="1:2" x14ac:dyDescent="0.35">
      <c r="A365" t="s">
        <v>420</v>
      </c>
      <c r="B365">
        <v>0</v>
      </c>
    </row>
    <row r="366" spans="1:2" x14ac:dyDescent="0.35">
      <c r="A366" t="s">
        <v>421</v>
      </c>
      <c r="B366">
        <v>0</v>
      </c>
    </row>
    <row r="367" spans="1:2" x14ac:dyDescent="0.35">
      <c r="A367" t="s">
        <v>422</v>
      </c>
      <c r="B367">
        <v>1</v>
      </c>
    </row>
    <row r="368" spans="1:2" x14ac:dyDescent="0.35">
      <c r="A368" t="s">
        <v>423</v>
      </c>
      <c r="B368">
        <v>0</v>
      </c>
    </row>
    <row r="369" spans="1:2" x14ac:dyDescent="0.35">
      <c r="A369" t="s">
        <v>424</v>
      </c>
      <c r="B369">
        <v>0</v>
      </c>
    </row>
    <row r="370" spans="1:2" x14ac:dyDescent="0.35">
      <c r="A370" t="s">
        <v>425</v>
      </c>
      <c r="B370">
        <v>0</v>
      </c>
    </row>
    <row r="371" spans="1:2" x14ac:dyDescent="0.35">
      <c r="A371" t="s">
        <v>426</v>
      </c>
      <c r="B371">
        <v>0</v>
      </c>
    </row>
    <row r="372" spans="1:2" x14ac:dyDescent="0.35">
      <c r="A372" t="s">
        <v>427</v>
      </c>
      <c r="B372">
        <v>100</v>
      </c>
    </row>
    <row r="373" spans="1:2" x14ac:dyDescent="0.35">
      <c r="A373" t="s">
        <v>428</v>
      </c>
      <c r="B373">
        <v>0</v>
      </c>
    </row>
    <row r="374" spans="1:2" x14ac:dyDescent="0.35">
      <c r="A374" t="s">
        <v>429</v>
      </c>
      <c r="B374">
        <v>0</v>
      </c>
    </row>
    <row r="375" spans="1:2" x14ac:dyDescent="0.35">
      <c r="A375" t="s">
        <v>430</v>
      </c>
      <c r="B375">
        <v>0</v>
      </c>
    </row>
    <row r="376" spans="1:2" x14ac:dyDescent="0.35">
      <c r="A376" t="s">
        <v>431</v>
      </c>
      <c r="B376">
        <v>0</v>
      </c>
    </row>
    <row r="377" spans="1:2" x14ac:dyDescent="0.35">
      <c r="A377" t="s">
        <v>432</v>
      </c>
      <c r="B377">
        <v>0</v>
      </c>
    </row>
    <row r="378" spans="1:2" x14ac:dyDescent="0.35">
      <c r="A378" t="s">
        <v>433</v>
      </c>
      <c r="B378">
        <v>0</v>
      </c>
    </row>
    <row r="379" spans="1:2" x14ac:dyDescent="0.35">
      <c r="A379" t="s">
        <v>434</v>
      </c>
    </row>
    <row r="380" spans="1:2" x14ac:dyDescent="0.35">
      <c r="A380" t="s">
        <v>435</v>
      </c>
      <c r="B380">
        <v>2</v>
      </c>
    </row>
    <row r="381" spans="1:2" x14ac:dyDescent="0.35">
      <c r="A381" t="s">
        <v>436</v>
      </c>
      <c r="B381">
        <v>3</v>
      </c>
    </row>
    <row r="382" spans="1:2" x14ac:dyDescent="0.35">
      <c r="A382" t="s">
        <v>437</v>
      </c>
      <c r="B382">
        <v>3</v>
      </c>
    </row>
    <row r="383" spans="1:2" x14ac:dyDescent="0.35">
      <c r="A383" t="s">
        <v>438</v>
      </c>
      <c r="B383">
        <v>7</v>
      </c>
    </row>
    <row r="384" spans="1:2" x14ac:dyDescent="0.35">
      <c r="A384" t="s">
        <v>439</v>
      </c>
      <c r="B384">
        <v>2</v>
      </c>
    </row>
    <row r="385" spans="1:2" x14ac:dyDescent="0.35">
      <c r="A385" t="s">
        <v>440</v>
      </c>
      <c r="B385">
        <v>4</v>
      </c>
    </row>
    <row r="386" spans="1:2" x14ac:dyDescent="0.35">
      <c r="A386" t="s">
        <v>441</v>
      </c>
      <c r="B386">
        <v>2</v>
      </c>
    </row>
    <row r="387" spans="1:2" x14ac:dyDescent="0.35">
      <c r="A387" t="s">
        <v>442</v>
      </c>
      <c r="B387">
        <v>5</v>
      </c>
    </row>
    <row r="388" spans="1:2" x14ac:dyDescent="0.35">
      <c r="A388" t="s">
        <v>443</v>
      </c>
      <c r="B388">
        <v>6</v>
      </c>
    </row>
    <row r="389" spans="1:2" x14ac:dyDescent="0.35">
      <c r="A389" t="s">
        <v>444</v>
      </c>
      <c r="B389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CFEC1-3F16-4831-8D1D-5AC5D0B7C45F}">
  <sheetPr codeName="Sheet3"/>
  <dimension ref="A1:F128"/>
  <sheetViews>
    <sheetView tabSelected="1" workbookViewId="0">
      <selection activeCell="A76" sqref="A76"/>
    </sheetView>
  </sheetViews>
  <sheetFormatPr defaultRowHeight="14.5" x14ac:dyDescent="0.35"/>
  <cols>
    <col min="1" max="1" width="21.7265625" customWidth="1"/>
    <col min="2" max="2" width="34.36328125" bestFit="1" customWidth="1"/>
    <col min="3" max="3" width="31.81640625" bestFit="1" customWidth="1"/>
    <col min="4" max="4" width="10.81640625" style="3" customWidth="1"/>
    <col min="5" max="5" width="7.453125" customWidth="1"/>
    <col min="6" max="6" width="50" customWidth="1"/>
  </cols>
  <sheetData>
    <row r="1" spans="1:6" x14ac:dyDescent="0.35">
      <c r="A1" s="1" t="s">
        <v>469</v>
      </c>
    </row>
    <row r="2" spans="1:6" ht="21" customHeight="1" x14ac:dyDescent="0.35">
      <c r="A2" t="s">
        <v>474</v>
      </c>
      <c r="B2" t="str">
        <f>_xlfn.XLOOKUP("BuildName", Base!A:A, Base!B:B, "N/A", 0, 1)</f>
        <v>Lucan Mod20 with Spy Rings</v>
      </c>
    </row>
    <row r="3" spans="1:6" ht="22.5" customHeight="1" x14ac:dyDescent="0.35">
      <c r="A3" t="s">
        <v>470</v>
      </c>
      <c r="B3" t="str">
        <f>_xlfn.XLOOKUP("BuildName", Target!A:A, Target!B:B, "N/A", 0, 1)</f>
        <v>Lucan Mod20 v2</v>
      </c>
    </row>
    <row r="4" spans="1:6" x14ac:dyDescent="0.35">
      <c r="A4" t="s">
        <v>21</v>
      </c>
      <c r="B4" t="str">
        <f>_xlfn.XLOOKUP("Class", Base!A:A, Base!B:B, "N/A", 0, 1)</f>
        <v>Wizard</v>
      </c>
    </row>
    <row r="6" spans="1:6" x14ac:dyDescent="0.35">
      <c r="B6" s="1" t="s">
        <v>474</v>
      </c>
      <c r="C6" s="1" t="s">
        <v>470</v>
      </c>
      <c r="D6" s="5" t="s">
        <v>499</v>
      </c>
      <c r="E6" s="1" t="s">
        <v>501</v>
      </c>
      <c r="F6" s="1" t="s">
        <v>500</v>
      </c>
    </row>
    <row r="7" spans="1:6" ht="21" x14ac:dyDescent="0.5">
      <c r="A7" s="2" t="s">
        <v>23</v>
      </c>
      <c r="B7" t="str">
        <f>_xlfn.XLOOKUP("Race", Base!A:A, Base!B:B, "N/A", 0, 1)</f>
        <v>Sun Elf</v>
      </c>
      <c r="C7" t="str">
        <f>_xlfn.XLOOKUP("Race", Target!A:A, Target!B:B, "N/A", 0, 1)</f>
        <v>Sun Elf</v>
      </c>
      <c r="D7" s="3">
        <f>IF(B7=C7, 1, 0)</f>
        <v>1</v>
      </c>
      <c r="F7" t="s">
        <v>540</v>
      </c>
    </row>
    <row r="8" spans="1:6" x14ac:dyDescent="0.35">
      <c r="A8" t="s">
        <v>471</v>
      </c>
      <c r="B8" t="str">
        <f>_xlfn.XLOOKUP("RaceAttribute1", Base!A:A, Base!B:B, "N/A", 0, 1)</f>
        <v>INT</v>
      </c>
      <c r="C8" t="str">
        <f>_xlfn.XLOOKUP("RaceAttribute1", Target!A:A, Target!B:B, "N/A", 0, 1)</f>
        <v>INT</v>
      </c>
      <c r="D8" s="3">
        <f t="shared" ref="D8:D40" si="0">IF(B8=C8, 1, 0)</f>
        <v>1</v>
      </c>
      <c r="F8" t="s">
        <v>540</v>
      </c>
    </row>
    <row r="9" spans="1:6" x14ac:dyDescent="0.35">
      <c r="A9" t="s">
        <v>472</v>
      </c>
      <c r="B9" t="str">
        <f>_xlfn.XLOOKUP("RaceAttribute2", Base!A:A, Base!B:B, "N/A", 0, 1)</f>
        <v>DEX</v>
      </c>
      <c r="C9" t="str">
        <f>_xlfn.XLOOKUP("RaceAttribute2", Target!A:A, Target!B:B, "N/A", 0, 1)</f>
        <v>CHA</v>
      </c>
      <c r="D9" s="3">
        <f t="shared" si="0"/>
        <v>0</v>
      </c>
      <c r="F9" t="s">
        <v>540</v>
      </c>
    </row>
    <row r="11" spans="1:6" ht="21" x14ac:dyDescent="0.5">
      <c r="A11" s="2" t="s">
        <v>473</v>
      </c>
    </row>
    <row r="12" spans="1:6" x14ac:dyDescent="0.35">
      <c r="A12" t="s">
        <v>475</v>
      </c>
      <c r="B12" s="4">
        <f>_xlfn.XLOOKUP("Lvl10AttrSTR", Base!A:A, Base!B:B, 0, 0, 1) + _xlfn.XLOOKUP("Lvl20AttrSTR", Base!A:A, Base!B:B, 0, 0, 1) + _xlfn.XLOOKUP("Lvl40AttrSTR", Base!A:A, Base!B:B, 0, 0, 1) + _xlfn.XLOOKUP("Lvl50AttrSTR", Base!A:A, Base!B:B, 0, 0, 1) + _xlfn.XLOOKUP("Lvl70AttrSTR", Base!A:A, Base!B:B, 0, 0, 1) + _xlfn.XLOOKUP("Lvl80AttrSTR", Base!A:A, Base!B:B, 0, 0, 1)</f>
        <v>0</v>
      </c>
      <c r="C12" s="4">
        <f>_xlfn.XLOOKUP("Lvl10AttrSTR", Target!A:A, Target!B:B, 0, 0, 1) + _xlfn.XLOOKUP("Lvl20AttrSTR", Target!A:A, Target!B:B, 0, 0, 1) + _xlfn.XLOOKUP("Lvl40AttrSTR", Target!A:A, Target!B:B, 0, 0, 1) + _xlfn.XLOOKUP("Lvl50AttrSTR", Target!A:A, Target!B:B, 0, 0, 1) + _xlfn.XLOOKUP("Lvl70AttrSTR", Target!A:A, Target!B:B, 0, 0, 1) + _xlfn.XLOOKUP("Lvl80AttrSTR", Target!A:A, Target!B:B, 0, 0, 1)</f>
        <v>0</v>
      </c>
      <c r="D12" s="3">
        <f t="shared" si="0"/>
        <v>1</v>
      </c>
    </row>
    <row r="13" spans="1:6" x14ac:dyDescent="0.35">
      <c r="A13" t="s">
        <v>476</v>
      </c>
      <c r="B13" s="4">
        <f>_xlfn.XLOOKUP("Lvl10AttrCON", Base!A:A, Base!B:B, 0, 0, 1) + _xlfn.XLOOKUP("Lvl20AttrCON", Base!A:A, Base!B:B, 0, 0, 1) + _xlfn.XLOOKUP("Lvl40AttrCON", Base!A:A, Base!B:B, 0, 0, 1) + _xlfn.XLOOKUP("Lvl50AttrCON", Base!A:A, Base!B:B, 0, 0, 1) + _xlfn.XLOOKUP("Lvl70AttrCON", Base!A:A, Base!B:B, 0, 0, 1) + _xlfn.XLOOKUP("Lvl80AttrCON", Base!A:A, Base!B:B, 0, 0, 1)</f>
        <v>0</v>
      </c>
      <c r="C13" s="4">
        <f>_xlfn.XLOOKUP("Lvl10AttrCON", Target!A:A, Target!B:B, 0, 0, 1) + _xlfn.XLOOKUP("Lvl20AttrCON", Target!A:A, Target!B:B, 0, 0, 1) + _xlfn.XLOOKUP("Lvl40AttrCON", Target!A:A, Target!B:B, 0, 0, 1) + _xlfn.XLOOKUP("Lvl50AttrCON", Target!A:A, Target!B:B, 0, 0, 1) + _xlfn.XLOOKUP("Lvl70AttrCON", Target!A:A, Target!B:B, 0, 0, 1) + _xlfn.XLOOKUP("Lvl80AttrCON", Target!A:A, Target!B:B, 0, 0, 1)</f>
        <v>0</v>
      </c>
      <c r="D13" s="3">
        <f t="shared" si="0"/>
        <v>1</v>
      </c>
    </row>
    <row r="14" spans="1:6" x14ac:dyDescent="0.35">
      <c r="A14" t="s">
        <v>28</v>
      </c>
      <c r="B14" s="4">
        <f>_xlfn.XLOOKUP("Lvl10AttrDEX", Base!A:A, Base!B:B, 0, 0, 1) + _xlfn.XLOOKUP("Lvl20AttrDEX", Base!A:A, Base!B:B, 0, 0, 1) + _xlfn.XLOOKUP("Lvl40AttrDEX", Base!A:A, Base!B:B, 0, 0, 1) + _xlfn.XLOOKUP("Lvl50AttrDEX", Base!A:A, Base!B:B, 0, 0, 1) + _xlfn.XLOOKUP("Lvl70AttrDEX", Base!A:A, Base!B:B, 0, 0, 1) + _xlfn.XLOOKUP("Lvl80AttrDEX", Base!A:A, Base!B:B, 0, 0, 1)</f>
        <v>0</v>
      </c>
      <c r="C14" s="4">
        <f>_xlfn.XLOOKUP("Lvl10AttrDEX", Target!A:A, Target!B:B, 0, 0, 1) + _xlfn.XLOOKUP("Lvl20AttrDEX", Target!A:A, Target!B:B, 0, 0, 1) + _xlfn.XLOOKUP("Lvl40AttrDEX", Target!A:A, Target!B:B, 0, 0, 1) + _xlfn.XLOOKUP("Lvl50AttrDEX", Target!A:A, Target!B:B, 0, 0, 1) + _xlfn.XLOOKUP("Lvl70AttrDEX", Target!A:A, Target!B:B, 0, 0, 1) + _xlfn.XLOOKUP("Lvl80AttrDEX", Target!A:A, Target!B:B, 0, 0, 1)</f>
        <v>0</v>
      </c>
      <c r="D14" s="3">
        <f t="shared" si="0"/>
        <v>1</v>
      </c>
    </row>
    <row r="15" spans="1:6" x14ac:dyDescent="0.35">
      <c r="A15" t="s">
        <v>26</v>
      </c>
      <c r="B15" s="4">
        <f>_xlfn.XLOOKUP("Lvl10AttrINT", Base!A:A, Base!B:B, 0, 0, 1) + _xlfn.XLOOKUP("Lvl20AttrINT", Base!A:A, Base!B:B, 0, 0, 1) + _xlfn.XLOOKUP("Lvl40AttrINT", Base!A:A, Base!B:B, 0, 0, 1) + _xlfn.XLOOKUP("Lvl50AttrINT", Base!A:A, Base!B:B, 0, 0, 1) + _xlfn.XLOOKUP("Lvl70AttrINT", Base!A:A, Base!B:B, 0, 0, 1) + _xlfn.XLOOKUP("Lvl80AttrINT", Base!A:A, Base!B:B, 0, 0, 1)</f>
        <v>6</v>
      </c>
      <c r="C15" s="4">
        <f>_xlfn.XLOOKUP("Lvl10AttrINT", Target!A:A, Target!B:B, 0, 0, 1) + _xlfn.XLOOKUP("Lvl20AttrINT", Target!A:A, Target!B:B, 0, 0, 1) + _xlfn.XLOOKUP("Lvl40AttrINT", Target!A:A, Target!B:B, 0, 0, 1) + _xlfn.XLOOKUP("Lvl50AttrINT", Target!A:A, Target!B:B, 0, 0, 1) + _xlfn.XLOOKUP("Lvl70AttrINT", Target!A:A, Target!B:B, 0, 0, 1) + _xlfn.XLOOKUP("Lvl80AttrINT", Target!A:A, Target!B:B, 0, 0, 1)</f>
        <v>6</v>
      </c>
      <c r="D15" s="3">
        <f t="shared" si="0"/>
        <v>1</v>
      </c>
    </row>
    <row r="16" spans="1:6" x14ac:dyDescent="0.35">
      <c r="A16" t="s">
        <v>477</v>
      </c>
      <c r="B16" s="4">
        <f>_xlfn.XLOOKUP("Lvl10AttrWIS", Base!A:A, Base!B:B, 0, 0, 1) + _xlfn.XLOOKUP("Lvl20AttrWIS", Base!A:A, Base!B:B, 0, 0, 1) + _xlfn.XLOOKUP("Lvl40AttrWIS", Base!A:A, Base!B:B, 0, 0, 1) + _xlfn.XLOOKUP("Lvl50AttrWIS", Base!A:A, Base!B:B, 0, 0, 1) + _xlfn.XLOOKUP("Lvl70AttrWIS", Base!A:A, Base!B:B, 0, 0, 1) + _xlfn.XLOOKUP("Lvl80AttrWIS", Base!A:A, Base!B:B, 0, 0, 1)</f>
        <v>0</v>
      </c>
      <c r="C16" s="4">
        <f>_xlfn.XLOOKUP("Lvl10AttrWIS", Target!A:A, Target!B:B, 0, 0, 1) + _xlfn.XLOOKUP("Lvl20AttrWIS", Target!A:A, Target!B:B, 0, 0, 1) + _xlfn.XLOOKUP("Lvl40AttrWIS", Target!A:A, Target!B:B, 0, 0, 1) + _xlfn.XLOOKUP("Lvl50AttrWIS", Target!A:A, Target!B:B, 0, 0, 1) + _xlfn.XLOOKUP("Lvl70AttrWIS", Target!A:A, Target!B:B, 0, 0, 1) + _xlfn.XLOOKUP("Lvl80AttrWIS", Target!A:A, Target!B:B, 0, 0, 1)</f>
        <v>0</v>
      </c>
      <c r="D16" s="3">
        <f t="shared" si="0"/>
        <v>1</v>
      </c>
    </row>
    <row r="17" spans="1:4" x14ac:dyDescent="0.35">
      <c r="A17" t="s">
        <v>445</v>
      </c>
      <c r="B17" s="4">
        <f>_xlfn.XLOOKUP("Lvl10AttrCHA", Base!A:A, Base!B:B, 0, 0, 1) + _xlfn.XLOOKUP("Lvl20AttrCHA", Base!A:A, Base!B:B, 0, 0, 1) + _xlfn.XLOOKUP("Lvl40AttrCHA", Base!A:A, Base!B:B, 0, 0, 1) + _xlfn.XLOOKUP("Lvl50AttrCHA", Base!A:A, Base!B:B, 0, 0, 1) + _xlfn.XLOOKUP("Lvl70AttrCHA", Base!A:A, Base!B:B, 0, 0, 1) + _xlfn.XLOOKUP("Lvl80AttrCHA", Base!A:A, Base!B:B, 0, 0, 1)</f>
        <v>6</v>
      </c>
      <c r="C17" s="4">
        <f>_xlfn.XLOOKUP("Lvl10AttrCHA", Target!A:A, Target!B:B, 0, 0, 1) + _xlfn.XLOOKUP("Lvl20AttrCHA", Target!A:A, Target!B:B, 0, 0, 1) + _xlfn.XLOOKUP("Lvl40AttrCHA", Target!A:A, Target!B:B, 0, 0, 1) + _xlfn.XLOOKUP("Lvl50AttrCHA", Target!A:A, Target!B:B, 0, 0, 1) + _xlfn.XLOOKUP("Lvl70AttrCHA", Target!A:A, Target!B:B, 0, 0, 1) + _xlfn.XLOOKUP("Lvl80AttrCHA", Target!A:A, Target!B:B, 0, 0, 1)</f>
        <v>6</v>
      </c>
      <c r="D17" s="3">
        <f t="shared" si="0"/>
        <v>1</v>
      </c>
    </row>
    <row r="19" spans="1:4" ht="21" x14ac:dyDescent="0.5">
      <c r="A19" s="2" t="s">
        <v>478</v>
      </c>
    </row>
    <row r="20" spans="1:4" x14ac:dyDescent="0.35">
      <c r="A20" s="1" t="s">
        <v>479</v>
      </c>
      <c r="B20" t="str">
        <f>_xlfn.XLOOKUP("HeadItem", Base!A:A, Base!B:B, "N/A", 0, 1)</f>
        <v>Divine Raid Hood</v>
      </c>
      <c r="C20" t="str">
        <f>_xlfn.XLOOKUP("HeadItem", Target!A:A, Target!B:B, "N/A", 0, 1)</f>
        <v>Divine Raid Hood</v>
      </c>
      <c r="D20" s="3">
        <f t="shared" si="0"/>
        <v>1</v>
      </c>
    </row>
    <row r="21" spans="1:4" x14ac:dyDescent="0.35">
      <c r="A21" t="s">
        <v>480</v>
      </c>
      <c r="B21" t="str">
        <f>_xlfn.XLOOKUP("HeadEnch1Type", Base!A:A, Base!B:B, "N/A", 0, 1) &amp; " (R" &amp; _xlfn.XLOOKUP("HeadEnch1Rank", Base!A:A, Base!B:B, "", 0, 1) &amp; ")"</f>
        <v>Dark (R15)</v>
      </c>
      <c r="C21" t="str">
        <f>_xlfn.XLOOKUP("HeadEnch1Type", Target!A:A, Target!B:B, "N/A", 0, 1) &amp; " (R" &amp; _xlfn.XLOOKUP("HeadEnch1Rank", Target!A:A, Target!B:B, "", 0, 1) &amp; ")"</f>
        <v>Dark (R15)</v>
      </c>
      <c r="D21" s="3">
        <f t="shared" si="0"/>
        <v>1</v>
      </c>
    </row>
    <row r="22" spans="1:4" x14ac:dyDescent="0.35">
      <c r="A22" t="s">
        <v>494</v>
      </c>
      <c r="B22" t="str">
        <f>_xlfn.XLOOKUP("ArmorKit1Type", Base!A:A, Base!B:B, "N/A", 0, 1)</f>
        <v>Critical Strike</v>
      </c>
      <c r="C22" t="str">
        <f>_xlfn.XLOOKUP("ArmorKit1Type", Target!A:A, Target!B:B, "N/A", 0, 1)</f>
        <v>Accuracy</v>
      </c>
      <c r="D22" s="3">
        <f t="shared" ref="D22" si="1">IF(B22=C22, 1, 0)</f>
        <v>0</v>
      </c>
    </row>
    <row r="24" spans="1:4" x14ac:dyDescent="0.35">
      <c r="A24" s="1" t="s">
        <v>481</v>
      </c>
      <c r="B24" t="str">
        <f>_xlfn.XLOOKUP("ArmorItem", Base!A:A, Base!B:B, "N/A", 0, 1)</f>
        <v>Ebony Stained Robes</v>
      </c>
      <c r="C24" t="str">
        <f>_xlfn.XLOOKUP("ArmorItem", Target!A:A, Target!B:B, "N/A", 0, 1)</f>
        <v>Ebony Stained Robes</v>
      </c>
      <c r="D24" s="3">
        <f t="shared" si="0"/>
        <v>1</v>
      </c>
    </row>
    <row r="25" spans="1:4" x14ac:dyDescent="0.35">
      <c r="A25" t="s">
        <v>480</v>
      </c>
      <c r="B25" t="str">
        <f>_xlfn.XLOOKUP("ArmorEnch1Type", Base!A:A, Base!B:B, "N/A", 0, 1) &amp; " (R" &amp; _xlfn.XLOOKUP("ArmorEnch1Rank", Base!A:A, Base!B:B, "", 0, 1) &amp; ")"</f>
        <v>Radiant (R15)</v>
      </c>
      <c r="C25" t="str">
        <f>_xlfn.XLOOKUP("ArmorEnch1Type", Target!A:A, Target!B:B, "N/A", 0, 1) &amp; " (R" &amp; _xlfn.XLOOKUP("ArmorEnch1Rank", Target!A:A, Target!B:B, "", 0, 1) &amp; ")"</f>
        <v>Radiant (R15)</v>
      </c>
      <c r="D25" s="3">
        <f t="shared" si="0"/>
        <v>1</v>
      </c>
    </row>
    <row r="26" spans="1:4" x14ac:dyDescent="0.35">
      <c r="A26" t="s">
        <v>482</v>
      </c>
      <c r="B26" t="str">
        <f>_xlfn.XLOOKUP("ArmorEnch2Type", Base!A:A, Base!B:B, "N/A", 0, 1) &amp; " (R" &amp; _xlfn.XLOOKUP("ArmorEnch2Rank", Base!A:A, Base!B:B, "", 0, 1) &amp; ")"</f>
        <v>Barkshield (R14)</v>
      </c>
      <c r="C26" t="str">
        <f>_xlfn.XLOOKUP("ArmorEnch2Type", Target!A:A, Target!B:B, "N/A", 0, 1) &amp; " (R" &amp; _xlfn.XLOOKUP("ArmorEnch2Rank", Target!A:A, Target!B:B, "", 0, 1) &amp; ")"</f>
        <v>Barkshield (R14)</v>
      </c>
      <c r="D26" s="3">
        <f t="shared" si="0"/>
        <v>1</v>
      </c>
    </row>
    <row r="27" spans="1:4" x14ac:dyDescent="0.35">
      <c r="A27" t="s">
        <v>494</v>
      </c>
      <c r="B27" t="str">
        <f>_xlfn.XLOOKUP("ArmorKit2Type", Base!A:A, Base!B:B, "N/A", 0, 1)</f>
        <v>Critical Strike</v>
      </c>
      <c r="C27" t="str">
        <f>_xlfn.XLOOKUP("ArmorKit2Type", Target!A:A, Target!B:B, "N/A", 0, 1)</f>
        <v>Accuracy</v>
      </c>
      <c r="D27" s="3">
        <f t="shared" si="0"/>
        <v>0</v>
      </c>
    </row>
    <row r="29" spans="1:4" x14ac:dyDescent="0.35">
      <c r="A29" s="1" t="s">
        <v>483</v>
      </c>
      <c r="B29" t="str">
        <f>_xlfn.XLOOKUP("ArmsItem", Base!A:A, Base!B:B, "N/A", 0, 1)</f>
        <v>Lion Guard's Raid Armlets</v>
      </c>
      <c r="C29" t="str">
        <f>_xlfn.XLOOKUP("ArmsItem", Target!A:A, Target!B:B, "N/A", 0, 1)</f>
        <v>Lion Guard's Raid Armlets</v>
      </c>
      <c r="D29" s="3">
        <f t="shared" si="0"/>
        <v>1</v>
      </c>
    </row>
    <row r="30" spans="1:4" x14ac:dyDescent="0.35">
      <c r="A30" t="s">
        <v>480</v>
      </c>
      <c r="B30" t="str">
        <f>_xlfn.XLOOKUP("ArmsEnch1Type", Base!A:A, Base!B:B, "N/A", 0, 1) &amp; " (R" &amp; _xlfn.XLOOKUP("ArmsEnch1Rank", Base!A:A, Base!B:B, "", 0, 1) &amp; ")"</f>
        <v>Dark (R15)</v>
      </c>
      <c r="C30" t="str">
        <f>_xlfn.XLOOKUP("ArmsEnch1Type", Target!A:A, Target!B:B, "N/A", 0, 1) &amp; " (R" &amp; _xlfn.XLOOKUP("ArmsEnch1Rank", Target!A:A, Target!B:B, "", 0, 1) &amp; ")"</f>
        <v>Dark (R15)</v>
      </c>
      <c r="D30" s="3">
        <f t="shared" si="0"/>
        <v>1</v>
      </c>
    </row>
    <row r="31" spans="1:4" x14ac:dyDescent="0.35">
      <c r="A31" t="s">
        <v>494</v>
      </c>
      <c r="B31" t="str">
        <f>_xlfn.XLOOKUP("ArmorKit3Type", Base!A:A, Base!B:B, "N/A", 0, 1)</f>
        <v>Defense</v>
      </c>
      <c r="C31" t="str">
        <f>_xlfn.XLOOKUP("ArmorKit3Type", Target!A:A, Target!B:B, "N/A", 0, 1)</f>
        <v>Critical Strike</v>
      </c>
      <c r="D31" s="3">
        <f t="shared" ref="D31" si="2">IF(B31=C31, 1, 0)</f>
        <v>0</v>
      </c>
    </row>
    <row r="33" spans="1:4" x14ac:dyDescent="0.35">
      <c r="A33" s="1" t="s">
        <v>484</v>
      </c>
      <c r="B33" t="str">
        <f>_xlfn.XLOOKUP("MainhandItem", Base!A:A, Base!B:B, "N/A", 0, 1)</f>
        <v>Crystal Orb of the Blessed Blade</v>
      </c>
      <c r="C33" t="str">
        <f>_xlfn.XLOOKUP("MainhandItem", Target!A:A, Target!B:B, "N/A", 0, 1)</f>
        <v>Crystal Orb of the Blessed Blade</v>
      </c>
      <c r="D33" s="3">
        <f t="shared" si="0"/>
        <v>1</v>
      </c>
    </row>
    <row r="34" spans="1:4" x14ac:dyDescent="0.35">
      <c r="A34" t="s">
        <v>480</v>
      </c>
      <c r="B34" t="str">
        <f>_xlfn.XLOOKUP("MainhandEnch1Type", Base!A:A, Base!B:B, "N/A", 0, 1) &amp; " (R" &amp; _xlfn.XLOOKUP("MainhandEnch1Rank", Base!A:A, Base!B:B, "", 0, 1) &amp; ")"</f>
        <v>Assassin's (R15)</v>
      </c>
      <c r="C34" t="str">
        <f>_xlfn.XLOOKUP("MainhandEnch1Type", Target!A:A, Target!B:B, "N/A", 0, 1) &amp; " (R" &amp; _xlfn.XLOOKUP("MainhandEnch1Rank", Target!A:A, Target!B:B, "", 0, 1) &amp; ")"</f>
        <v>Assassin's (R9)</v>
      </c>
      <c r="D34" s="3">
        <f t="shared" si="0"/>
        <v>0</v>
      </c>
    </row>
    <row r="35" spans="1:4" x14ac:dyDescent="0.35">
      <c r="A35" t="s">
        <v>485</v>
      </c>
      <c r="B35" t="str">
        <f>_xlfn.XLOOKUP("MainhandEnch2Type", Base!A:A, Base!B:B, "N/A", 0, 1) &amp; " (R" &amp; _xlfn.XLOOKUP("MainhandEnch2Rank", Base!A:A, Base!B:B, "", 0, 1) &amp; ")"</f>
        <v>Bilethorn (R14)</v>
      </c>
      <c r="C35" t="str">
        <f>_xlfn.XLOOKUP("MainhandEnch2Type", Target!A:A, Target!B:B, "N/A", 0, 1) &amp; " (R" &amp; _xlfn.XLOOKUP("MainhandEnch2Rank", Target!A:A, Target!B:B, "", 0, 1) &amp; ")"</f>
        <v>Bilethorn (R14)</v>
      </c>
      <c r="D35" s="3">
        <f t="shared" si="0"/>
        <v>1</v>
      </c>
    </row>
    <row r="36" spans="1:4" x14ac:dyDescent="0.35">
      <c r="A36" t="s">
        <v>480</v>
      </c>
      <c r="B36" t="str">
        <f>_xlfn.XLOOKUP("MainhandEnch3Type", Base!A:A, Base!B:B, "N/A", 0, 1) &amp; " (R" &amp; _xlfn.XLOOKUP("MainhandEnch3Rank", Base!A:A, Base!B:B, "", 0, 1) &amp; ")"</f>
        <v>Tenebrous (R15)</v>
      </c>
      <c r="C36" t="str">
        <f>_xlfn.XLOOKUP("MainhandEnch3Type", Target!A:A, Target!B:B, "N/A", 0, 1) &amp; " (R" &amp; _xlfn.XLOOKUP("MainhandEnch3Rank", Target!A:A, Target!B:B, "", 0, 1) &amp; ")"</f>
        <v>Tenebrous (R15)</v>
      </c>
      <c r="D36" s="3">
        <f t="shared" si="0"/>
        <v>1</v>
      </c>
    </row>
    <row r="38" spans="1:4" x14ac:dyDescent="0.35">
      <c r="A38" s="1" t="s">
        <v>486</v>
      </c>
      <c r="B38" t="str">
        <f>_xlfn.XLOOKUP("OffhandItem", Base!A:A, Base!B:B, "N/A", 0, 1)</f>
        <v>Good Luck of the Blessed Blade</v>
      </c>
      <c r="C38" t="str">
        <f>_xlfn.XLOOKUP("OffhandItem", Target!A:A, Target!B:B, "N/A", 0, 1)</f>
        <v>Good Luck of the Blessed Blade</v>
      </c>
      <c r="D38" s="3">
        <f t="shared" si="0"/>
        <v>1</v>
      </c>
    </row>
    <row r="39" spans="1:4" x14ac:dyDescent="0.35">
      <c r="A39" t="s">
        <v>480</v>
      </c>
      <c r="B39" t="str">
        <f>_xlfn.XLOOKUP("OffhandEnch1Type", Base!A:A, Base!B:B, "N/A", 0, 1) &amp; " (R" &amp; _xlfn.XLOOKUP("OffhandEnch1Rank", Base!A:A, Base!B:B, "", 0, 1) &amp; ")"</f>
        <v>Assassin's (R9)</v>
      </c>
      <c r="C39" t="str">
        <f>_xlfn.XLOOKUP("OffhandEnch1Type", Target!A:A, Target!B:B, "N/A", 0, 1) &amp; " (R" &amp; _xlfn.XLOOKUP("OffhandEnch1Rank", Target!A:A, Target!B:B, "", 0, 1) &amp; ")"</f>
        <v>Assassin's (R9)</v>
      </c>
      <c r="D39" s="3">
        <f t="shared" si="0"/>
        <v>1</v>
      </c>
    </row>
    <row r="40" spans="1:4" x14ac:dyDescent="0.35">
      <c r="A40" t="s">
        <v>480</v>
      </c>
      <c r="B40" t="str">
        <f>_xlfn.XLOOKUP("OffhandEnch2Type", Base!A:A, Base!B:B, "N/A", 0, 1) &amp; " (R" &amp; _xlfn.XLOOKUP("OffhandEnch2Rank", Base!A:A, Base!B:B, "", 0, 1) &amp; ")"</f>
        <v>Brutal (R15)</v>
      </c>
      <c r="C40" t="str">
        <f>_xlfn.XLOOKUP("OffhandEnch2Type", Target!A:A, Target!B:B, "N/A", 0, 1) &amp; " (R" &amp; _xlfn.XLOOKUP("OffhandEnch2Rank", Target!A:A, Target!B:B, "", 0, 1) &amp; ")"</f>
        <v>Brutal (R15)</v>
      </c>
      <c r="D40" s="3">
        <f t="shared" si="0"/>
        <v>1</v>
      </c>
    </row>
    <row r="41" spans="1:4" x14ac:dyDescent="0.35">
      <c r="A41" t="s">
        <v>495</v>
      </c>
      <c r="B41" t="str">
        <f>_xlfn.XLOOKUP("ClassFeature", Base!A:A, Base!B:B, "N/A", 0, 1)</f>
        <v>AP Gain</v>
      </c>
      <c r="C41" t="str">
        <f>_xlfn.XLOOKUP("ClassFeature", Target!A:A, Target!B:B, "N/A", 0, 1)</f>
        <v>Forte</v>
      </c>
      <c r="D41" s="3">
        <f t="shared" ref="D41:D42" si="3">IF(B41=C41, 1, 0)</f>
        <v>0</v>
      </c>
    </row>
    <row r="42" spans="1:4" x14ac:dyDescent="0.35">
      <c r="A42" t="s">
        <v>496</v>
      </c>
      <c r="B42" t="str">
        <f>_xlfn.XLOOKUP("ArtifactModification", Base!A:A, Base!B:B, "N/A", 0, 1) &amp; " ("&amp; _xlfn.XLOOKUP("ArtifactModificationValue", Base!A:A, Base!B:B, "", 0, 1) &amp; ")"</f>
        <v>Critical Strike (2227)</v>
      </c>
      <c r="C42" t="str">
        <f>_xlfn.XLOOKUP("ArtifactModification", Target!A:A, Target!B:B, "N/A", 0, 1) &amp; " (" &amp; _xlfn.XLOOKUP("ArtifactModificationValue", Target!A:A, Target!B:B, "", 0, 1) &amp; ")"</f>
        <v>Critical Strike (2151)</v>
      </c>
      <c r="D42" s="3">
        <f t="shared" si="3"/>
        <v>0</v>
      </c>
    </row>
    <row r="44" spans="1:4" x14ac:dyDescent="0.35">
      <c r="A44" s="1" t="s">
        <v>487</v>
      </c>
      <c r="B44" t="str">
        <f>_xlfn.XLOOKUP("FeetItem", Base!A:A, Base!B:B, "N/A", 0, 1)</f>
        <v>Rusted Iron Leggings</v>
      </c>
      <c r="C44" t="str">
        <f>_xlfn.XLOOKUP("FeetItem", Target!A:A, Target!B:B, "N/A", 0, 1)</f>
        <v>Rusted Iron Leggings</v>
      </c>
      <c r="D44" s="3">
        <f t="shared" ref="D44:D46" si="4">IF(B44=C44, 1, 0)</f>
        <v>1</v>
      </c>
    </row>
    <row r="45" spans="1:4" x14ac:dyDescent="0.35">
      <c r="A45" t="s">
        <v>480</v>
      </c>
      <c r="B45" t="str">
        <f>_xlfn.XLOOKUP("FeetEnch1Type", Base!A:A, Base!B:B, "N/A", 0, 1) &amp; " (R" &amp; _xlfn.XLOOKUP("FeetEnch1Rank", Base!A:A, Base!B:B, "", 0, 1) &amp; ")"</f>
        <v>Dark (R15)</v>
      </c>
      <c r="C45" t="str">
        <f>_xlfn.XLOOKUP("FeetEnch1Type", Target!A:A, Target!B:B, "N/A", 0, 1) &amp; " (R" &amp; _xlfn.XLOOKUP("FeetEnch1Rank", Target!A:A, Target!B:B, "", 0, 1) &amp; ")"</f>
        <v>Dark (R15)</v>
      </c>
      <c r="D45" s="3">
        <f t="shared" si="4"/>
        <v>1</v>
      </c>
    </row>
    <row r="46" spans="1:4" x14ac:dyDescent="0.35">
      <c r="A46" t="s">
        <v>494</v>
      </c>
      <c r="B46" t="str">
        <f>_xlfn.XLOOKUP("ArmorKit6Type", Base!A:A, Base!B:B, "N/A", 0, 1)</f>
        <v>Defense</v>
      </c>
      <c r="C46" t="str">
        <f>_xlfn.XLOOKUP("ArmorKit6Type", Target!A:A, Target!B:B, "N/A", 0, 1)</f>
        <v>Defense</v>
      </c>
      <c r="D46" s="3">
        <f t="shared" si="4"/>
        <v>1</v>
      </c>
    </row>
    <row r="48" spans="1:4" x14ac:dyDescent="0.35">
      <c r="A48" s="1" t="s">
        <v>488</v>
      </c>
      <c r="B48" t="str">
        <f>_xlfn.XLOOKUP("NeckItem", Base!A:A, Base!B:B, "N/A", 0, 1)</f>
        <v>Necklace of the Mad Mage</v>
      </c>
      <c r="C48" t="str">
        <f>_xlfn.XLOOKUP("NeckItem", Target!A:A, Target!B:B, "N/A", 0, 1)</f>
        <v>Necklace of the Mad Mage</v>
      </c>
      <c r="D48" s="3">
        <f t="shared" ref="D48:D51" si="5">IF(B48=C48, 1, 0)</f>
        <v>1</v>
      </c>
    </row>
    <row r="49" spans="1:4" x14ac:dyDescent="0.35">
      <c r="A49" t="s">
        <v>480</v>
      </c>
      <c r="B49" t="str">
        <f>_xlfn.XLOOKUP("NeckEnch1Type", Base!A:A, Base!B:B, "N/A", 0, 1) &amp; " (R" &amp; _xlfn.XLOOKUP("NeckEnch1Rank", Base!A:A, Base!B:B, "", 0, 1) &amp; ")"</f>
        <v>Dark (R15)</v>
      </c>
      <c r="C49" t="str">
        <f>_xlfn.XLOOKUP("NeckEnch1Type", Target!A:A, Target!B:B, "N/A", 0, 1) &amp; " (R" &amp; _xlfn.XLOOKUP("NeckEnch1Rank", Target!A:A, Target!B:B, "", 0, 1) &amp; ")"</f>
        <v>Dark (R15)</v>
      </c>
      <c r="D49" s="3">
        <f t="shared" si="5"/>
        <v>1</v>
      </c>
    </row>
    <row r="50" spans="1:4" x14ac:dyDescent="0.35">
      <c r="A50" t="s">
        <v>480</v>
      </c>
      <c r="B50" t="str">
        <f>_xlfn.XLOOKUP("NeckEnch2Type", Base!A:A, Base!B:B, "N/A", 0, 1) &amp; " (R" &amp; _xlfn.XLOOKUP("NeckEnch2Rank", Base!A:A, Base!B:B, "", 0, 1) &amp; ")"</f>
        <v>Silvery (R11)</v>
      </c>
      <c r="C50" t="str">
        <f>_xlfn.XLOOKUP("NeckEnch2Type", Target!A:A, Target!B:B, "N/A", 0, 1) &amp; " (R" &amp; _xlfn.XLOOKUP("NeckEnch2Rank", Target!A:A, Target!B:B, "", 0, 1) &amp; ")"</f>
        <v>Silvery (R10)</v>
      </c>
      <c r="D50" s="3">
        <f t="shared" si="5"/>
        <v>0</v>
      </c>
    </row>
    <row r="51" spans="1:4" x14ac:dyDescent="0.35">
      <c r="A51" t="s">
        <v>494</v>
      </c>
      <c r="B51" t="str">
        <f>_xlfn.XLOOKUP("ArmorKit7Type", Base!A:A, Base!B:B, "N/A", 0, 1)</f>
        <v>Combat Advantage</v>
      </c>
      <c r="C51" t="str">
        <f>_xlfn.XLOOKUP("ArmorKit7Type", Target!A:A, Target!B:B, "N/A", 0, 1)</f>
        <v>Combat Advantage</v>
      </c>
      <c r="D51" s="3">
        <f t="shared" si="5"/>
        <v>1</v>
      </c>
    </row>
    <row r="53" spans="1:4" x14ac:dyDescent="0.35">
      <c r="A53" s="1" t="s">
        <v>489</v>
      </c>
      <c r="B53" t="str">
        <f>_xlfn.XLOOKUP("LRingItem", Base!A:A, Base!B:B, "N/A", 0, 1)</f>
        <v>Guiding Ring of the Spy</v>
      </c>
      <c r="C53" t="str">
        <f>_xlfn.XLOOKUP("LRingItem", Target!A:A, Target!B:B, "N/A", 0, 1)</f>
        <v>Leading Ring of the Teacher</v>
      </c>
      <c r="D53" s="3">
        <f t="shared" ref="D53:D56" si="6">IF(B53=C53, 1, 0)</f>
        <v>0</v>
      </c>
    </row>
    <row r="54" spans="1:4" x14ac:dyDescent="0.35">
      <c r="A54" t="s">
        <v>480</v>
      </c>
      <c r="B54" t="str">
        <f>_xlfn.XLOOKUP("LRingEnch1Type", Base!A:A, Base!B:B, "N/A", 0, 1) &amp; " (R" &amp; _xlfn.XLOOKUP("LRingEnch1Rank", Base!A:A, Base!B:B, "", 0, 1) &amp; ")"</f>
        <v>Silvery (R11)</v>
      </c>
      <c r="C54" t="str">
        <f>_xlfn.XLOOKUP("LRingEnch1Type", Target!A:A, Target!B:B, "N/A", 0, 1) &amp; " (R" &amp; _xlfn.XLOOKUP("LRingEnch1Rank", Target!A:A, Target!B:B, "", 0, 1) &amp; ")"</f>
        <v>Silvery (R10)</v>
      </c>
      <c r="D54" s="3">
        <f t="shared" si="6"/>
        <v>0</v>
      </c>
    </row>
    <row r="55" spans="1:4" x14ac:dyDescent="0.35">
      <c r="A55" t="s">
        <v>480</v>
      </c>
      <c r="B55" t="str">
        <f>_xlfn.XLOOKUP("LRingEnch2Type", Base!A:A, Base!B:B, "N/A", 0, 1) &amp; " (R" &amp; _xlfn.XLOOKUP("LRingEnch2Rank", Base!A:A, Base!B:B, "", 0, 1) &amp; ")"</f>
        <v>Tactical (R13)</v>
      </c>
      <c r="C55" t="str">
        <f>_xlfn.XLOOKUP("LRingEnch2Type", Target!A:A, Target!B:B, "N/A", 0, 1) &amp; " (R" &amp; _xlfn.XLOOKUP("LRingEnch2Rank", Target!A:A, Target!B:B, "", 0, 1) &amp; ")"</f>
        <v>Assassin's (R9)</v>
      </c>
      <c r="D55" s="3">
        <f t="shared" si="6"/>
        <v>0</v>
      </c>
    </row>
    <row r="56" spans="1:4" x14ac:dyDescent="0.35">
      <c r="A56" t="s">
        <v>494</v>
      </c>
      <c r="B56" t="str">
        <f>_xlfn.XLOOKUP("ArmorKit8Type", Base!A:A, Base!B:B, "N/A", 0, 1)</f>
        <v>Combat Advantage</v>
      </c>
      <c r="C56" t="str">
        <f>_xlfn.XLOOKUP("ArmorKit8Type", Target!A:A, Target!B:B, "N/A", 0, 1)</f>
        <v>Combat Advantage</v>
      </c>
      <c r="D56" s="3">
        <f t="shared" si="6"/>
        <v>1</v>
      </c>
    </row>
    <row r="58" spans="1:4" x14ac:dyDescent="0.35">
      <c r="A58" s="1" t="s">
        <v>490</v>
      </c>
      <c r="B58" t="str">
        <f>_xlfn.XLOOKUP("RRingItem", Base!A:A, Base!B:B, "N/A", 0, 1)</f>
        <v>Guiding Ring of the Spy</v>
      </c>
      <c r="C58" t="str">
        <f>_xlfn.XLOOKUP("RRingItem", Target!A:A, Target!B:B, "N/A", 0, 1)</f>
        <v>Guiding Ring of the Spy</v>
      </c>
      <c r="D58" s="3">
        <f t="shared" ref="D58:D61" si="7">IF(B58=C58, 1, 0)</f>
        <v>1</v>
      </c>
    </row>
    <row r="59" spans="1:4" x14ac:dyDescent="0.35">
      <c r="A59" t="s">
        <v>480</v>
      </c>
      <c r="B59" t="str">
        <f>_xlfn.XLOOKUP("RRingEnch1Type", Base!A:A, Base!B:B, "N/A", 0, 1) &amp; " (R" &amp; _xlfn.XLOOKUP("RRingEnch1Rank", Base!A:A, Base!B:B, "", 0, 1) &amp; ")"</f>
        <v>Gigantic (R9)</v>
      </c>
      <c r="C59" t="str">
        <f>_xlfn.XLOOKUP("RRingEnch1Type", Target!A:A, Target!B:B, "N/A", 0, 1) &amp; " (R" &amp; _xlfn.XLOOKUP("RRingEnch1Rank", Target!A:A, Target!B:B, "", 0, 1) &amp; ")"</f>
        <v>Assassin's (R9)</v>
      </c>
      <c r="D59" s="3">
        <f t="shared" si="7"/>
        <v>0</v>
      </c>
    </row>
    <row r="60" spans="1:4" x14ac:dyDescent="0.35">
      <c r="A60" t="s">
        <v>480</v>
      </c>
      <c r="B60" t="str">
        <f>_xlfn.XLOOKUP("RRingEnch2Type", Base!A:A, Base!B:B, "N/A", 0, 1) &amp; " (R" &amp; _xlfn.XLOOKUP("RRingEnch2Rank", Base!A:A, Base!B:B, "", 0, 1) &amp; ")"</f>
        <v>Gigantic (R9)</v>
      </c>
      <c r="C60" t="str">
        <f>_xlfn.XLOOKUP("RRingEnch2Type", Target!A:A, Target!B:B, "N/A", 0, 1) &amp; " (R" &amp; _xlfn.XLOOKUP("RRingEnch2Rank", Target!A:A, Target!B:B, "", 0, 1) &amp; ")"</f>
        <v>Azure (R11)</v>
      </c>
      <c r="D60" s="3">
        <f t="shared" si="7"/>
        <v>0</v>
      </c>
    </row>
    <row r="61" spans="1:4" x14ac:dyDescent="0.35">
      <c r="A61" t="s">
        <v>494</v>
      </c>
      <c r="B61" t="str">
        <f>_xlfn.XLOOKUP("ArmorKit9Type", Base!A:A, Base!B:B, "N/A", 0, 1)</f>
        <v>Combat Advantage</v>
      </c>
      <c r="C61" t="str">
        <f>_xlfn.XLOOKUP("ArmorKit9Type", Target!A:A, Target!B:B, "N/A", 0, 1)</f>
        <v>Combat Advantage</v>
      </c>
      <c r="D61" s="3">
        <f t="shared" si="7"/>
        <v>1</v>
      </c>
    </row>
    <row r="63" spans="1:4" x14ac:dyDescent="0.35">
      <c r="A63" s="1" t="s">
        <v>491</v>
      </c>
      <c r="B63" t="str">
        <f>_xlfn.XLOOKUP("WaistItem", Base!A:A, Base!B:B, "N/A", 0, 1)</f>
        <v>Belt of the Mad Mage</v>
      </c>
      <c r="C63" t="str">
        <f>_xlfn.XLOOKUP("WaistItem", Target!A:A, Target!B:B, "N/A", 0, 1)</f>
        <v>Belt of the Mad Mage</v>
      </c>
      <c r="D63" s="3">
        <f t="shared" ref="D63:D66" si="8">IF(B63=C63, 1, 0)</f>
        <v>1</v>
      </c>
    </row>
    <row r="64" spans="1:4" x14ac:dyDescent="0.35">
      <c r="A64" t="s">
        <v>480</v>
      </c>
      <c r="B64" t="str">
        <f>_xlfn.XLOOKUP("WaistEnch1Type", Base!A:A, Base!B:B, "N/A", 0, 1) &amp; " (R" &amp; _xlfn.XLOOKUP("WaistEnch1Rank", Base!A:A, Base!B:B, "", 0, 1) &amp; ")"</f>
        <v>Dark (R15)</v>
      </c>
      <c r="C64" t="str">
        <f>_xlfn.XLOOKUP("WaistEnch1Type", Target!A:A, Target!B:B, "N/A", 0, 1) &amp; " (R" &amp; _xlfn.XLOOKUP("WaistEnch1Rank", Target!A:A, Target!B:B, "", 0, 1) &amp; ")"</f>
        <v>Dark (R15)</v>
      </c>
      <c r="D64" s="3">
        <f t="shared" si="8"/>
        <v>1</v>
      </c>
    </row>
    <row r="65" spans="1:4" x14ac:dyDescent="0.35">
      <c r="A65" t="s">
        <v>480</v>
      </c>
      <c r="B65" t="str">
        <f>_xlfn.XLOOKUP("WaistEnch2Type", Base!A:A, Base!B:B, "N/A", 0, 1) &amp; " (R" &amp; _xlfn.XLOOKUP("WaistEnch2Rank", Base!A:A, Base!B:B, "", 0, 1) &amp; ")"</f>
        <v>Radiant (R15)</v>
      </c>
      <c r="C65" t="str">
        <f>_xlfn.XLOOKUP("WaistEnch2Type", Target!A:A, Target!B:B, "N/A", 0, 1) &amp; " (R" &amp; _xlfn.XLOOKUP("WaistEnch2Rank", Target!A:A, Target!B:B, "", 0, 1) &amp; ")"</f>
        <v>Radiant (R15)</v>
      </c>
      <c r="D65" s="3">
        <f t="shared" si="8"/>
        <v>1</v>
      </c>
    </row>
    <row r="66" spans="1:4" x14ac:dyDescent="0.35">
      <c r="A66" t="s">
        <v>494</v>
      </c>
      <c r="B66" t="str">
        <f>_xlfn.XLOOKUP("ArmorKit10Type", Base!A:A, Base!B:B, "N/A", 0, 1)</f>
        <v>Combat Advantage</v>
      </c>
      <c r="C66" t="str">
        <f>_xlfn.XLOOKUP("ArmorKit10Type", Target!A:A, Target!B:B, "N/A", 0, 1)</f>
        <v>Combat Advantage</v>
      </c>
      <c r="D66" s="3">
        <f t="shared" si="8"/>
        <v>1</v>
      </c>
    </row>
    <row r="68" spans="1:4" x14ac:dyDescent="0.35">
      <c r="A68" s="1" t="s">
        <v>492</v>
      </c>
      <c r="B68" t="str">
        <f>_xlfn.XLOOKUP("ShirtItem", Base!A:A, Base!B:B, "N/A", 0, 1)</f>
        <v>Ebony Stained Ward Shirt</v>
      </c>
      <c r="C68" t="str">
        <f>_xlfn.XLOOKUP("ShirtItem", Target!A:A, Target!B:B, "N/A", 0, 1)</f>
        <v>Ebony Stained Ward Shirt</v>
      </c>
      <c r="D68" s="3">
        <f t="shared" ref="D68:D69" si="9">IF(B68=C68, 1, 0)</f>
        <v>1</v>
      </c>
    </row>
    <row r="69" spans="1:4" x14ac:dyDescent="0.35">
      <c r="A69" t="s">
        <v>480</v>
      </c>
      <c r="B69" t="str">
        <f>_xlfn.XLOOKUP("ShirtEnch1Type", Base!A:A, Base!B:B, "N/A", 0, 1) &amp; " (R" &amp; _xlfn.XLOOKUP("ShirtEnch1Rank", Base!A:A, Base!B:B, "", 0, 1) &amp; ")"</f>
        <v>Gigantic (R9)</v>
      </c>
      <c r="C69" t="str">
        <f>_xlfn.XLOOKUP("ShirtEnch1Type", Target!A:A, Target!B:B, "N/A", 0, 1) &amp; " (R" &amp; _xlfn.XLOOKUP("ShirtEnch1Rank", Target!A:A, Target!B:B, "", 0, 1) &amp; ")"</f>
        <v>Assassin's (R9)</v>
      </c>
      <c r="D69" s="3">
        <f t="shared" si="9"/>
        <v>0</v>
      </c>
    </row>
    <row r="71" spans="1:4" x14ac:dyDescent="0.35">
      <c r="A71" s="1" t="s">
        <v>493</v>
      </c>
      <c r="B71" t="str">
        <f>_xlfn.XLOOKUP("TrousersItem", Base!A:A, Base!B:B, "N/A", 0, 1)</f>
        <v>Velvet Pants +1</v>
      </c>
      <c r="C71" t="str">
        <f>_xlfn.XLOOKUP("TrousersItem", Target!A:A, Target!B:B, "N/A", 0, 1)</f>
        <v>Infernal Forged Restoration Trousers</v>
      </c>
      <c r="D71" s="3">
        <f t="shared" ref="D71:D128" si="10">IF(B71=C71, 1, 0)</f>
        <v>0</v>
      </c>
    </row>
    <row r="72" spans="1:4" x14ac:dyDescent="0.35">
      <c r="A72" t="s">
        <v>480</v>
      </c>
      <c r="B72" t="str">
        <f>_xlfn.XLOOKUP("TrousersEnch1Type", Base!A:A, Base!B:B, "N/A", 0, 1) &amp; " (R" &amp; _xlfn.XLOOKUP("TrousersEnch1Rank", Base!A:A, Base!B:B, "", 0, 1) &amp; ")"</f>
        <v>Radiant (R15)</v>
      </c>
      <c r="C72" t="str">
        <f>_xlfn.XLOOKUP("TrousersEnch1Type", Target!A:A, Target!B:B, "N/A", 0, 1) &amp; " (R" &amp; _xlfn.XLOOKUP("TrousersEnch1Rank", Target!A:A, Target!B:B, "", 0, 1) &amp; ")"</f>
        <v>Radiant (R15)</v>
      </c>
      <c r="D72" s="3">
        <f t="shared" si="10"/>
        <v>1</v>
      </c>
    </row>
    <row r="74" spans="1:4" x14ac:dyDescent="0.35">
      <c r="A74" s="1" t="s">
        <v>541</v>
      </c>
    </row>
    <row r="75" spans="1:4" x14ac:dyDescent="0.35">
      <c r="A75" t="s">
        <v>497</v>
      </c>
      <c r="B75" t="str">
        <f>_xlfn.XLOOKUP("PrimaryArtifact", Base!A:A, Base!B:B, "N/A", 0, 1)</f>
        <v>Envenomed Storyteller's Journal</v>
      </c>
      <c r="C75" t="str">
        <f>_xlfn.XLOOKUP("PrimaryArtifact", Target!A:A, Target!B:B, "N/A", 0, 1)</f>
        <v>Envenomed Storyteller's Journal</v>
      </c>
      <c r="D75" s="3">
        <f t="shared" si="10"/>
        <v>1</v>
      </c>
    </row>
    <row r="76" spans="1:4" x14ac:dyDescent="0.35">
      <c r="A76" t="s">
        <v>498</v>
      </c>
      <c r="B76" t="str">
        <f>_xlfn.XLOOKUP("Artifact2", Base!A:A, Base!B:B, "N/A", 0, 1)</f>
        <v>Halaster's Blast Scepter</v>
      </c>
      <c r="C76" t="str">
        <f>_xlfn.XLOOKUP("Artifact2", Target!A:A, Target!B:B, "N/A", 0, 1)</f>
        <v>Halaster's Blast Scepter</v>
      </c>
      <c r="D76" s="3">
        <f t="shared" si="10"/>
        <v>1</v>
      </c>
    </row>
    <row r="77" spans="1:4" x14ac:dyDescent="0.35">
      <c r="A77" t="s">
        <v>498</v>
      </c>
      <c r="B77" t="str">
        <f>_xlfn.XLOOKUP("Artifact3", Base!A:A, Base!B:B, "N/A", 0, 1)</f>
        <v>Frozen Storyteller's Journal</v>
      </c>
      <c r="C77" t="str">
        <f>_xlfn.XLOOKUP("Artifact3", Target!A:A, Target!B:B, "N/A", 0, 1)</f>
        <v>Frozen Storyteller's Journal</v>
      </c>
      <c r="D77" s="3">
        <f t="shared" si="10"/>
        <v>1</v>
      </c>
    </row>
    <row r="78" spans="1:4" x14ac:dyDescent="0.35">
      <c r="A78" t="s">
        <v>498</v>
      </c>
      <c r="B78" t="str">
        <f>_xlfn.XLOOKUP("Artifact4", Base!A:A, Base!B:B, "N/A", 0, 1)</f>
        <v>Darkened Storyteller's Journal</v>
      </c>
      <c r="C78" t="str">
        <f>_xlfn.XLOOKUP("Artifact4", Target!A:A, Target!B:B, "N/A", 0, 1)</f>
        <v>Darkened Storyteller's Journal</v>
      </c>
      <c r="D78" s="3">
        <f t="shared" si="10"/>
        <v>1</v>
      </c>
    </row>
    <row r="80" spans="1:4" ht="21" x14ac:dyDescent="0.5">
      <c r="A80" s="2" t="s">
        <v>503</v>
      </c>
    </row>
    <row r="81" spans="1:4" x14ac:dyDescent="0.35">
      <c r="A81" s="1" t="s">
        <v>504</v>
      </c>
      <c r="B81" t="str">
        <f>_xlfn.XLOOKUP("CompanionGear1", Base!A:A, Base!B:B, "N/A", 0, 1)</f>
        <v>Imperial Diamond Belt of the Companion</v>
      </c>
      <c r="C81" t="str">
        <f>_xlfn.XLOOKUP("CompanionGear1", Target!A:A, Target!B:B, "N/A", 0, 1)</f>
        <v>Spiked Belt of the Companion</v>
      </c>
      <c r="D81" s="3">
        <f t="shared" si="10"/>
        <v>0</v>
      </c>
    </row>
    <row r="82" spans="1:4" x14ac:dyDescent="0.35">
      <c r="A82" t="s">
        <v>505</v>
      </c>
      <c r="B82" t="str">
        <f>_xlfn.XLOOKUP("CompanionGear1Slot1Type", Base!A:A, Base!B:B, "N/A", 0, 1) &amp; " (R" &amp; _xlfn.XLOOKUP("CompanionGear1Slot1Rank", Base!A:A, Base!B:B, "", 0, 1) &amp; ")"</f>
        <v>Recondite (R10)</v>
      </c>
      <c r="C82" t="str">
        <f>_xlfn.XLOOKUP("CompanionGear1Slot1Type", Target!A:A, Target!B:B, "N/A", 0, 1) &amp; " (R" &amp; _xlfn.XLOOKUP("CompanionGear1Slot1Rank", Target!A:A, Target!B:B, "", 0, 1) &amp; ")"</f>
        <v>Recondite (R11)</v>
      </c>
      <c r="D82" s="3">
        <f t="shared" si="10"/>
        <v>0</v>
      </c>
    </row>
    <row r="83" spans="1:4" x14ac:dyDescent="0.35">
      <c r="A83" t="s">
        <v>506</v>
      </c>
      <c r="B83" t="str">
        <f>_xlfn.XLOOKUP("CompanionGear1Slot2Type", Base!A:A, Base!B:B, "N/A", 0, 1) &amp; " (R" &amp; _xlfn.XLOOKUP("CompanionGear1Slot2Rank", Base!A:A, Base!B:B, "", 0, 1) &amp; ")"</f>
        <v>Profane (R15)</v>
      </c>
      <c r="C83" t="str">
        <f>_xlfn.XLOOKUP("CompanionGear1Slot2Type", Target!A:A, Target!B:B, "N/A", 0, 1) &amp; " (R" &amp; _xlfn.XLOOKUP("CompanionGear1Slot2Rank", Target!A:A, Target!B:B, "", 0, 1) &amp; ")"</f>
        <v>Profane (R15)</v>
      </c>
      <c r="D83" s="3">
        <f t="shared" si="10"/>
        <v>1</v>
      </c>
    </row>
    <row r="85" spans="1:4" x14ac:dyDescent="0.35">
      <c r="A85" s="1" t="s">
        <v>507</v>
      </c>
      <c r="B85" t="str">
        <f>_xlfn.XLOOKUP("CompanionGear2", Base!A:A, Base!B:B, "N/A", 0, 1)</f>
        <v>Gold Icon of the Companion</v>
      </c>
      <c r="C85" t="str">
        <f>_xlfn.XLOOKUP("CompanionGear2", Target!A:A, Target!B:B, "N/A", 0, 1)</f>
        <v>Gold Icon of the Companion</v>
      </c>
      <c r="D85" s="3">
        <f t="shared" si="10"/>
        <v>1</v>
      </c>
    </row>
    <row r="86" spans="1:4" x14ac:dyDescent="0.35">
      <c r="A86" t="s">
        <v>505</v>
      </c>
      <c r="B86" t="str">
        <f>_xlfn.XLOOKUP("CompanionGear2Slot1Type", Base!A:A, Base!B:B, "N/A", 0, 1) &amp; " (R" &amp; _xlfn.XLOOKUP("CompanionGear2Slot1Rank", Base!A:A, Base!B:B, "", 0, 1) &amp; ")"</f>
        <v>Recondite (R10)</v>
      </c>
      <c r="C86" t="str">
        <f>_xlfn.XLOOKUP("CompanionGear2Slot1Type", Target!A:A, Target!B:B, "N/A", 0, 1) &amp; " (R" &amp; _xlfn.XLOOKUP("CompanionGear2Slot1Rank", Target!A:A, Target!B:B, "", 0, 1) &amp; ")"</f>
        <v>Recondite (R11)</v>
      </c>
      <c r="D86" s="3">
        <f t="shared" si="10"/>
        <v>0</v>
      </c>
    </row>
    <row r="87" spans="1:4" x14ac:dyDescent="0.35">
      <c r="A87" t="s">
        <v>506</v>
      </c>
      <c r="B87" t="str">
        <f>_xlfn.XLOOKUP("CompanionGear2Slot2Type", Base!A:A, Base!B:B, "N/A", 0, 1) &amp; " (R" &amp; _xlfn.XLOOKUP("CompanionGear2Slot2Rank", Base!A:A, Base!B:B, "", 0, 1) &amp; ")"</f>
        <v>Recondite (R10)</v>
      </c>
      <c r="C87" t="str">
        <f>_xlfn.XLOOKUP("CompanionGear2Slot2Type", Target!A:A, Target!B:B, "N/A", 0, 1) &amp; " (R" &amp; _xlfn.XLOOKUP("CompanionGear2Slot2Rank", Target!A:A, Target!B:B, "", 0, 1) &amp; ")"</f>
        <v>Recondite (R11)</v>
      </c>
      <c r="D87" s="3">
        <f t="shared" si="10"/>
        <v>0</v>
      </c>
    </row>
    <row r="89" spans="1:4" x14ac:dyDescent="0.35">
      <c r="A89" s="1" t="s">
        <v>508</v>
      </c>
      <c r="B89" t="str">
        <f>_xlfn.XLOOKUP("CompanionGear3", Base!A:A, Base!B:B, "N/A", 0, 1)</f>
        <v>Gold-leafed Grimoire of the Companion</v>
      </c>
      <c r="C89" t="str">
        <f>_xlfn.XLOOKUP("CompanionGear3", Target!A:A, Target!B:B, "N/A", 0, 1)</f>
        <v>Ivy Grown Icon of the Companion</v>
      </c>
      <c r="D89" s="3">
        <f t="shared" si="10"/>
        <v>0</v>
      </c>
    </row>
    <row r="90" spans="1:4" x14ac:dyDescent="0.35">
      <c r="A90" t="s">
        <v>505</v>
      </c>
      <c r="B90" t="str">
        <f>_xlfn.XLOOKUP("CompanionGear3Slot1Type", Base!A:A, Base!B:B, "N/A", 0, 1) &amp; " (R" &amp; _xlfn.XLOOKUP("CompanionGear3Slot1Rank", Base!A:A, Base!B:B, "", 0, 1) &amp; ")"</f>
        <v>Recondite (R10)</v>
      </c>
      <c r="C90" t="str">
        <f>_xlfn.XLOOKUP("CompanionGear3Slot1Type", Target!A:A, Target!B:B, "N/A", 0, 1) &amp; " (R" &amp; _xlfn.XLOOKUP("CompanionGear3Slot1Rank", Target!A:A, Target!B:B, "", 0, 1) &amp; ")"</f>
        <v>Profane (R11)</v>
      </c>
      <c r="D90" s="3">
        <f t="shared" si="10"/>
        <v>0</v>
      </c>
    </row>
    <row r="91" spans="1:4" x14ac:dyDescent="0.35">
      <c r="A91" t="s">
        <v>506</v>
      </c>
      <c r="B91" t="str">
        <f>_xlfn.XLOOKUP("CompanionGear3Slot2Type", Base!A:A, Base!B:B, "N/A", 0, 1) &amp; " (R" &amp; _xlfn.XLOOKUP("CompanionGear3Slot2Rank", Base!A:A, Base!B:B, "", 0, 1) &amp; ")"</f>
        <v>Profane (R9)</v>
      </c>
      <c r="C91" t="str">
        <f>_xlfn.XLOOKUP("CompanionGear3Slot2Type", Target!A:A, Target!B:B, "N/A", 0, 1) &amp; " (R" &amp; _xlfn.XLOOKUP("CompanionGear3Slot2Rank", Target!A:A, Target!B:B, "", 0, 1) &amp; ")"</f>
        <v>Profane (R11)</v>
      </c>
      <c r="D91" s="3">
        <f t="shared" si="10"/>
        <v>0</v>
      </c>
    </row>
    <row r="93" spans="1:4" x14ac:dyDescent="0.35">
      <c r="A93" t="s">
        <v>509</v>
      </c>
      <c r="B93" t="str">
        <f>_xlfn.XLOOKUP("ActiveCompanion", Base!A:A, Base!B:B, "N/A", 0, 1) &amp; " (" &amp; _xlfn.XLOOKUP("ActiveCompanionQuality", Base!A:A, Base!B:B, "", 0, 1) &amp; ")"</f>
        <v>Owlbear Cub (Mythic)</v>
      </c>
      <c r="C93" t="str">
        <f>_xlfn.XLOOKUP("ActiveCompanion", Target!A:A, Target!B:B, "N/A", 0, 1) &amp; " (" &amp; _xlfn.XLOOKUP("ActiveCompanionQuality", Target!A:A, Target!B:B, "", 0, 1) &amp; ")"</f>
        <v>Owlbear Cub (Mythic)</v>
      </c>
      <c r="D93" s="3">
        <f t="shared" si="10"/>
        <v>1</v>
      </c>
    </row>
    <row r="94" spans="1:4" x14ac:dyDescent="0.35">
      <c r="A94" t="s">
        <v>510</v>
      </c>
      <c r="B94" t="str">
        <f>_xlfn.XLOOKUP("CompanionEnhancementPower", Base!A:A, Base!B:B, "N/A", 0, 1)</f>
        <v>Acute Senses</v>
      </c>
      <c r="C94" t="str">
        <f>_xlfn.XLOOKUP("CompanionEnhancementPower", Target!A:A, Target!B:B, "N/A", 0, 1)</f>
        <v>Acute Senses</v>
      </c>
      <c r="D94" s="3">
        <f t="shared" si="10"/>
        <v>1</v>
      </c>
    </row>
    <row r="95" spans="1:4" x14ac:dyDescent="0.35">
      <c r="A95" t="s">
        <v>514</v>
      </c>
      <c r="B95" t="str">
        <f>_xlfn.XLOOKUP("CompanionEquipPowerType1", Base!A:A, Base!B:B, "N/A", 0, 1) &amp; " (" &amp; _xlfn.XLOOKUP("CompanionEquipPowerQuality1", Base!A:A, Base!B:B, "", 0, 1) &amp; ")"</f>
        <v>Flamesprite's Insight (Mythic)</v>
      </c>
      <c r="C95" t="str">
        <f>_xlfn.XLOOKUP("CompanionEquipPowerType1", Target!A:A, Target!B:B, "N/A", 0, 1) &amp; " (" &amp; _xlfn.XLOOKUP("CompanionEquipPowerQuality1", Target!A:A, Target!B:B, "", 0, 1) &amp; ")"</f>
        <v>Entertainer's Discipline (Mythic)</v>
      </c>
      <c r="D95" s="3">
        <f t="shared" si="10"/>
        <v>0</v>
      </c>
    </row>
    <row r="96" spans="1:4" x14ac:dyDescent="0.35">
      <c r="A96" t="s">
        <v>453</v>
      </c>
      <c r="B96" t="str">
        <f>_xlfn.XLOOKUP("CompanionEquipPowerType2", Base!A:A, Base!B:B, "N/A", 0, 1) &amp; " (" &amp; _xlfn.XLOOKUP("CompanionEquipPowerQuality2", Base!A:A, Base!B:B, "", 0, 1) &amp; ")"</f>
        <v>Man-at-Arms's Discipline (Mythic)</v>
      </c>
      <c r="C96" t="str">
        <f>_xlfn.XLOOKUP("CompanionEquipPowerType2", Target!A:A, Target!B:B, "N/A", 0, 1) &amp; " (" &amp; _xlfn.XLOOKUP("CompanionEquipPowerQuality2", Target!A:A, Target!B:B, "", 0, 1) &amp; ")"</f>
        <v>Man-at-Arms's Discipline (Mythic)</v>
      </c>
      <c r="D96" s="3">
        <f t="shared" si="10"/>
        <v>1</v>
      </c>
    </row>
    <row r="97" spans="1:4" x14ac:dyDescent="0.35">
      <c r="A97" t="s">
        <v>511</v>
      </c>
      <c r="B97" t="str">
        <f>_xlfn.XLOOKUP("CompanionEquipPowerType3", Base!A:A, Base!B:B, "N/A", 0, 1) &amp; " (" &amp; _xlfn.XLOOKUP("CompanionEquipPowerQuality3", Base!A:A, Base!B:B, "", 0, 1) &amp; ")"</f>
        <v>Baby Owlbear's Presence (Mythic)</v>
      </c>
      <c r="C97" t="str">
        <f>_xlfn.XLOOKUP("CompanionEquipPowerType3", Target!A:A, Target!B:B, "N/A", 0, 1) &amp; " (" &amp; _xlfn.XLOOKUP("CompanionEquipPowerQuality3", Target!A:A, Target!B:B, "", 0, 1) &amp; ")"</f>
        <v>Alchemist's Discipline (Mythic)</v>
      </c>
      <c r="D97" s="3">
        <f t="shared" si="10"/>
        <v>0</v>
      </c>
    </row>
    <row r="98" spans="1:4" x14ac:dyDescent="0.35">
      <c r="A98" t="s">
        <v>512</v>
      </c>
      <c r="B98" t="str">
        <f>_xlfn.XLOOKUP("CompanionEquipPowerType4", Base!A:A, Base!B:B, "N/A", 0, 1) &amp; " (" &amp; _xlfn.XLOOKUP("CompanionEquipPowerQuality4", Base!A:A, Base!B:B, "", 0, 1) &amp; ")"</f>
        <v>Baby Deepcrow's Presence (Mythic)</v>
      </c>
      <c r="C98" t="str">
        <f>_xlfn.XLOOKUP("CompanionEquipPowerType4", Target!A:A, Target!B:B, "N/A", 0, 1) &amp; " (" &amp; _xlfn.XLOOKUP("CompanionEquipPowerQuality4", Target!A:A, Target!B:B, "", 0, 1) &amp; ")"</f>
        <v>Baby Deepcrow's Presence (Mythic)</v>
      </c>
      <c r="D98" s="3">
        <f t="shared" si="10"/>
        <v>1</v>
      </c>
    </row>
    <row r="99" spans="1:4" x14ac:dyDescent="0.35">
      <c r="A99" t="s">
        <v>513</v>
      </c>
      <c r="B99" t="str">
        <f>_xlfn.XLOOKUP("CompanionEquipPowerType5", Base!A:A, Base!B:B, "N/A", 0, 1) &amp; " (" &amp; _xlfn.XLOOKUP("CompanionEquipPowerQuality5", Base!A:A, Base!B:B, "", 0, 1) &amp; ")"</f>
        <v>Staldorf's Presence (Mythic)</v>
      </c>
      <c r="C99" t="str">
        <f>_xlfn.XLOOKUP("CompanionEquipPowerType5", Target!A:A, Target!B:B, "N/A", 0, 1) &amp; " (" &amp; _xlfn.XLOOKUP("CompanionEquipPowerQuality5", Target!A:A, Target!B:B, "", 0, 1) &amp; ")"</f>
        <v>Staldorf's Presence (Mythic)</v>
      </c>
      <c r="D99" s="3">
        <f t="shared" si="10"/>
        <v>1</v>
      </c>
    </row>
    <row r="101" spans="1:4" ht="21" x14ac:dyDescent="0.5">
      <c r="A101" s="2" t="s">
        <v>515</v>
      </c>
    </row>
    <row r="102" spans="1:4" x14ac:dyDescent="0.35">
      <c r="A102" t="s">
        <v>516</v>
      </c>
      <c r="B102" t="str">
        <f>_xlfn.XLOOKUP("MountCombatPower", Base!A:A, Base!B:B, "N/A", 0, 1)</f>
        <v>Tunnel Vision</v>
      </c>
      <c r="C102" t="str">
        <f>_xlfn.XLOOKUP("MountCombatPower", Target!A:A, Target!B:B, "N/A", 0, 1)</f>
        <v>Tunnel Vision</v>
      </c>
      <c r="D102" s="3">
        <f t="shared" si="10"/>
        <v>1</v>
      </c>
    </row>
    <row r="103" spans="1:4" x14ac:dyDescent="0.35">
      <c r="A103" t="s">
        <v>517</v>
      </c>
      <c r="B103" t="str">
        <f>_xlfn.XLOOKUP("MountEquipPower", Base!A:A, Base!B:B, "N/A", 0, 1)</f>
        <v>Indestructible</v>
      </c>
      <c r="C103" t="str">
        <f>_xlfn.XLOOKUP("MountEquipPower", Target!A:A, Target!B:B, "N/A", 0, 1)</f>
        <v>Indestructible</v>
      </c>
      <c r="D103" s="3">
        <f t="shared" si="10"/>
        <v>1</v>
      </c>
    </row>
    <row r="105" spans="1:4" x14ac:dyDescent="0.35">
      <c r="A105" s="1" t="s">
        <v>518</v>
      </c>
      <c r="B105" t="str">
        <f>_xlfn.XLOOKUP("Mount1", Base!A:A, Base!B:B, "N/A", 0, 1)</f>
        <v>Purple Owlbear</v>
      </c>
      <c r="C105" t="str">
        <f>_xlfn.XLOOKUP("Mount1", Base!A:A, Base!B:B, "N/A", 0, 1)</f>
        <v>Purple Owlbear</v>
      </c>
      <c r="D105" s="3">
        <f t="shared" si="10"/>
        <v>1</v>
      </c>
    </row>
    <row r="106" spans="1:4" x14ac:dyDescent="0.35">
      <c r="A106" t="s">
        <v>519</v>
      </c>
      <c r="B106" t="str">
        <f>_xlfn.XLOOKUP("Mount1Insig1Type", Base!A:A, Base!B:B, "N/A", 0, 1) &amp; " (" &amp; _xlfn.XLOOKUP("Mount1Insig1Quality", Base!A:A, Base!B:B, "", 0, 1) &amp; ")"</f>
        <v>Dominance (Legendary)</v>
      </c>
      <c r="C106" t="str">
        <f>_xlfn.XLOOKUP("Mount1Insig1Type", Target!A:A, Target!B:B, "N/A", 0, 1) &amp; " (" &amp; _xlfn.XLOOKUP("Mount1Insig1Quality", Target!A:A, Target!B:B, "", 0, 1) &amp; ")"</f>
        <v>Dominance (Legendary)</v>
      </c>
      <c r="D106" s="3">
        <f t="shared" si="10"/>
        <v>1</v>
      </c>
    </row>
    <row r="107" spans="1:4" x14ac:dyDescent="0.35">
      <c r="A107" t="s">
        <v>520</v>
      </c>
      <c r="B107" t="str">
        <f>_xlfn.XLOOKUP("Mount1Insig2Type", Base!A:A, Base!B:B, "N/A", 0, 1) &amp; " (" &amp; _xlfn.XLOOKUP("Mount1Insig2Quality", Base!A:A, Base!B:B, "", 0, 1) &amp; ")"</f>
        <v>Dominance (Legendary)</v>
      </c>
      <c r="C107" t="str">
        <f>_xlfn.XLOOKUP("Mount1Insig2Type", Target!A:A, Target!B:B, "N/A", 0, 1) &amp; " (" &amp; _xlfn.XLOOKUP("Mount1Insig2Quality", Target!A:A, Target!B:B, "", 0, 1) &amp; ")"</f>
        <v>Dominance (Legendary)</v>
      </c>
      <c r="D107" s="3">
        <f t="shared" si="10"/>
        <v>1</v>
      </c>
    </row>
    <row r="108" spans="1:4" x14ac:dyDescent="0.35">
      <c r="A108" t="s">
        <v>521</v>
      </c>
      <c r="B108" t="str">
        <f>_xlfn.XLOOKUP("Mount1Insig3Type", Base!A:A, Base!B:B, "N/A", 0, 1) &amp; " (" &amp; _xlfn.XLOOKUP("Mount1Insig3Quality", Base!A:A, Base!B:B, "", 0, 1) &amp; ")"</f>
        <v>Dominance (Legendary)</v>
      </c>
      <c r="C108" t="str">
        <f>_xlfn.XLOOKUP("Mount1Insig3Type", Target!A:A, Target!B:B, "N/A", 0, 1) &amp; " (" &amp; _xlfn.XLOOKUP("Mount1Insig3Quality", Target!A:A, Target!B:B, "", 0, 1) &amp; ")"</f>
        <v>Dominance (Legendary)</v>
      </c>
      <c r="D108" s="3">
        <f t="shared" si="10"/>
        <v>1</v>
      </c>
    </row>
    <row r="110" spans="1:4" x14ac:dyDescent="0.35">
      <c r="A110" s="1" t="s">
        <v>522</v>
      </c>
      <c r="B110" t="str">
        <f>_xlfn.XLOOKUP("Mount2", Base!A:A, Base!B:B, "N/A", 0, 1)</f>
        <v>Swarm</v>
      </c>
      <c r="C110" t="str">
        <f>_xlfn.XLOOKUP("Mount2", Base!A:A, Base!B:B, "N/A", 0, 1)</f>
        <v>Swarm</v>
      </c>
      <c r="D110" s="3">
        <f t="shared" si="10"/>
        <v>1</v>
      </c>
    </row>
    <row r="111" spans="1:4" x14ac:dyDescent="0.35">
      <c r="A111" t="s">
        <v>519</v>
      </c>
      <c r="B111" t="str">
        <f>_xlfn.XLOOKUP("Mount2Insig1Type", Base!A:A, Base!B:B, "N/A", 0, 1) &amp; " (" &amp; _xlfn.XLOOKUP("Mount2Insig1Quality", Base!A:A, Base!B:B, "", 0, 1) &amp; ")"</f>
        <v>Dominance (Legendary)</v>
      </c>
      <c r="C111" t="str">
        <f>_xlfn.XLOOKUP("Mount2Insig1Type", Target!A:A, Target!B:B, "N/A", 0, 1) &amp; " (" &amp; _xlfn.XLOOKUP("Mount2Insig1Quality", Target!A:A, Target!B:B, "", 0, 1) &amp; ")"</f>
        <v>Dominance (Legendary)</v>
      </c>
      <c r="D111" s="3">
        <f t="shared" si="10"/>
        <v>1</v>
      </c>
    </row>
    <row r="112" spans="1:4" x14ac:dyDescent="0.35">
      <c r="A112" t="s">
        <v>520</v>
      </c>
      <c r="B112" t="str">
        <f>_xlfn.XLOOKUP("Mount2Insig2Type", Base!A:A, Base!B:B, "N/A", 0, 1) &amp; " (" &amp; _xlfn.XLOOKUP("Mount2Insig2Quality", Base!A:A, Base!B:B, "", 0, 1) &amp; ")"</f>
        <v>Brutality (Legendary)</v>
      </c>
      <c r="C112" t="str">
        <f>_xlfn.XLOOKUP("Mount2Insig2Type", Target!A:A, Target!B:B, "N/A", 0, 1) &amp; " (" &amp; _xlfn.XLOOKUP("Mount2Insig2Quality", Target!A:A, Target!B:B, "", 0, 1) &amp; ")"</f>
        <v>Skill (Legendary)</v>
      </c>
      <c r="D112" s="3">
        <f t="shared" si="10"/>
        <v>0</v>
      </c>
    </row>
    <row r="113" spans="1:4" x14ac:dyDescent="0.35">
      <c r="A113" t="s">
        <v>521</v>
      </c>
      <c r="B113" t="str">
        <f>_xlfn.XLOOKUP("Mount2Insig3Type", Base!A:A, Base!B:B, "N/A", 0, 1) &amp; " (" &amp; _xlfn.XLOOKUP("Mount2Insig3Quality", Base!A:A, Base!B:B, "", 0, 1) &amp; ")"</f>
        <v>Dominance (Legendary)</v>
      </c>
      <c r="C113" t="str">
        <f>_xlfn.XLOOKUP("Mount2Insig3Type", Target!A:A, Target!B:B, "N/A", 0, 1) &amp; " (" &amp; _xlfn.XLOOKUP("Mount2Insig3Quality", Target!A:A, Target!B:B, "", 0, 1) &amp; ")"</f>
        <v>Dominance (Legendary)</v>
      </c>
      <c r="D113" s="3">
        <f t="shared" si="10"/>
        <v>1</v>
      </c>
    </row>
    <row r="115" spans="1:4" x14ac:dyDescent="0.35">
      <c r="A115" s="1" t="s">
        <v>523</v>
      </c>
      <c r="B115" t="str">
        <f>_xlfn.XLOOKUP("Mount3", Base!A:A, Base!B:B, "N/A", 0, 1)</f>
        <v>Wolf of the Wild Hunt</v>
      </c>
      <c r="C115" t="str">
        <f>_xlfn.XLOOKUP("Mount3", Base!A:A, Base!B:B, "N/A", 0, 1)</f>
        <v>Wolf of the Wild Hunt</v>
      </c>
      <c r="D115" s="3">
        <f t="shared" si="10"/>
        <v>1</v>
      </c>
    </row>
    <row r="116" spans="1:4" x14ac:dyDescent="0.35">
      <c r="A116" t="s">
        <v>519</v>
      </c>
      <c r="B116" t="str">
        <f>_xlfn.XLOOKUP("Mount3Insig1Type", Base!A:A, Base!B:B, "N/A", 0, 1) &amp; " (" &amp; _xlfn.XLOOKUP("Mount3Insig1Quality", Base!A:A, Base!B:B, "", 0, 1) &amp; ")"</f>
        <v>Courage (Epic)</v>
      </c>
      <c r="C116" t="str">
        <f>_xlfn.XLOOKUP("Mount3Insig1Type", Target!A:A, Target!B:B, "N/A", 0, 1) &amp; " (" &amp; _xlfn.XLOOKUP("Mount3Insig1Quality", Target!A:A, Target!B:B, "", 0, 1) &amp; ")"</f>
        <v>Skill (Legendary)</v>
      </c>
      <c r="D116" s="3">
        <f t="shared" si="10"/>
        <v>0</v>
      </c>
    </row>
    <row r="117" spans="1:4" x14ac:dyDescent="0.35">
      <c r="A117" t="s">
        <v>520</v>
      </c>
      <c r="B117" t="str">
        <f>_xlfn.XLOOKUP("Mount3Insig2Type", Base!A:A, Base!B:B, "N/A", 0, 1) &amp; " (" &amp; _xlfn.XLOOKUP("Mount3Insig2Quality", Base!A:A, Base!B:B, "", 0, 1) &amp; ")"</f>
        <v>Dominance (Legendary)</v>
      </c>
      <c r="C117" t="str">
        <f>_xlfn.XLOOKUP("Mount3Insig2Type", Target!A:A, Target!B:B, "N/A", 0, 1) &amp; " (" &amp; _xlfn.XLOOKUP("Mount3Insig2Quality", Target!A:A, Target!B:B, "", 0, 1) &amp; ")"</f>
        <v>Skill (Legendary)</v>
      </c>
      <c r="D117" s="3">
        <f t="shared" si="10"/>
        <v>0</v>
      </c>
    </row>
    <row r="118" spans="1:4" x14ac:dyDescent="0.35">
      <c r="A118" t="s">
        <v>521</v>
      </c>
      <c r="B118" t="str">
        <f>_xlfn.XLOOKUP("Mount3Insig3Type", Base!A:A, Base!B:B, "N/A", 0, 1) &amp; " (" &amp; _xlfn.XLOOKUP("Mount3Insig3Quality", Base!A:A, Base!B:B, "", 0, 1) &amp; ")"</f>
        <v>Brutality (Legendary)</v>
      </c>
      <c r="C118" t="str">
        <f>_xlfn.XLOOKUP("Mount3Insig3Type", Target!A:A, Target!B:B, "N/A", 0, 1) &amp; " (" &amp; _xlfn.XLOOKUP("Mount3Insig3Quality", Target!A:A, Target!B:B, "", 0, 1) &amp; ")"</f>
        <v>Skill (Legendary)</v>
      </c>
      <c r="D118" s="3">
        <f t="shared" si="10"/>
        <v>0</v>
      </c>
    </row>
    <row r="120" spans="1:4" x14ac:dyDescent="0.35">
      <c r="A120" s="1" t="s">
        <v>524</v>
      </c>
      <c r="B120" t="str">
        <f>_xlfn.XLOOKUP("Mount4", Base!A:A, Base!B:B, "N/A", 0, 1)</f>
        <v>King of Spines - Account</v>
      </c>
      <c r="C120" t="str">
        <f>_xlfn.XLOOKUP("Mount4", Base!A:A, Base!B:B, "N/A", 0, 1)</f>
        <v>King of Spines - Account</v>
      </c>
      <c r="D120" s="3">
        <f t="shared" si="10"/>
        <v>1</v>
      </c>
    </row>
    <row r="121" spans="1:4" x14ac:dyDescent="0.35">
      <c r="A121" t="s">
        <v>519</v>
      </c>
      <c r="B121" t="str">
        <f>_xlfn.XLOOKUP("Mount4Insig1Type", Base!A:A, Base!B:B, "N/A", 0, 1) &amp; " (" &amp; _xlfn.XLOOKUP("Mount4Insig1Quality", Base!A:A, Base!B:B, "", 0, 1) &amp; ")"</f>
        <v>Dominance (Legendary)</v>
      </c>
      <c r="C121" t="str">
        <f>_xlfn.XLOOKUP("Mount4Insig1Type", Target!A:A, Target!B:B, "N/A", 0, 1) &amp; " (" &amp; _xlfn.XLOOKUP("Mount4Insig1Quality", Target!A:A, Target!B:B, "", 0, 1) &amp; ")"</f>
        <v>Dominance (Legendary)</v>
      </c>
      <c r="D121" s="3">
        <f t="shared" si="10"/>
        <v>1</v>
      </c>
    </row>
    <row r="122" spans="1:4" x14ac:dyDescent="0.35">
      <c r="A122" t="s">
        <v>520</v>
      </c>
      <c r="B122" t="str">
        <f>_xlfn.XLOOKUP("Mount4Insig2Type", Base!A:A, Base!B:B, "N/A", 0, 1) &amp; " (" &amp; _xlfn.XLOOKUP("Mount4Insig2Quality", Base!A:A, Base!B:B, "", 0, 1) &amp; ")"</f>
        <v>Brutality (Legendary)</v>
      </c>
      <c r="C122" t="str">
        <f>_xlfn.XLOOKUP("Mount4Insig2Type", Target!A:A, Target!B:B, "N/A", 0, 1) &amp; " (" &amp; _xlfn.XLOOKUP("Mount4Insig2Quality", Target!A:A, Target!B:B, "", 0, 1) &amp; ")"</f>
        <v>Skill (Legendary)</v>
      </c>
      <c r="D122" s="3">
        <f t="shared" si="10"/>
        <v>0</v>
      </c>
    </row>
    <row r="123" spans="1:4" x14ac:dyDescent="0.35">
      <c r="A123" t="s">
        <v>521</v>
      </c>
      <c r="B123" t="str">
        <f>_xlfn.XLOOKUP("Mount4Insig3Type", Base!A:A, Base!B:B, "N/A", 0, 1) &amp; " (" &amp; _xlfn.XLOOKUP("Mount4Insig3Quality", Base!A:A, Base!B:B, "", 0, 1) &amp; ")"</f>
        <v>Courage (Legendary)</v>
      </c>
      <c r="C123" t="str">
        <f>_xlfn.XLOOKUP("Mount4Insig3Type", Target!A:A, Target!B:B, "N/A", 0, 1) &amp; " (" &amp; _xlfn.XLOOKUP("Mount4Insig3Quality", Target!A:A, Target!B:B, "", 0, 1) &amp; ")"</f>
        <v>Dominance (Legendary)</v>
      </c>
      <c r="D123" s="3">
        <f t="shared" si="10"/>
        <v>0</v>
      </c>
    </row>
    <row r="125" spans="1:4" x14ac:dyDescent="0.35">
      <c r="A125" s="1" t="s">
        <v>525</v>
      </c>
      <c r="B125" t="str">
        <f>_xlfn.XLOOKUP("Mount5", Base!A:A, Base!B:B, "N/A", 0, 1)</f>
        <v>Polar Siege Bear - Account</v>
      </c>
      <c r="C125" t="str">
        <f>_xlfn.XLOOKUP("Mount5", Base!A:A, Base!B:B, "N/A", 0, 1)</f>
        <v>Polar Siege Bear - Account</v>
      </c>
      <c r="D125" s="3">
        <f t="shared" si="10"/>
        <v>1</v>
      </c>
    </row>
    <row r="126" spans="1:4" x14ac:dyDescent="0.35">
      <c r="A126" t="s">
        <v>519</v>
      </c>
      <c r="B126" t="str">
        <f>_xlfn.XLOOKUP("Mount5Insig1Type", Base!A:A, Base!B:B, "N/A", 0, 1) &amp; " (" &amp; _xlfn.XLOOKUP("Mount5Insig1Quality", Base!A:A, Base!B:B, "", 0, 1) &amp; ")"</f>
        <v>Aggression (Epic)</v>
      </c>
      <c r="C126" t="str">
        <f>_xlfn.XLOOKUP("Mount5Insig1Type", Target!A:A, Target!B:B, "N/A", 0, 1) &amp; " (" &amp; _xlfn.XLOOKUP("Mount5Insig1Quality", Target!A:A, Target!B:B, "", 0, 1) &amp; ")"</f>
        <v>Dominance (Legendary)</v>
      </c>
      <c r="D126" s="3">
        <f t="shared" si="10"/>
        <v>0</v>
      </c>
    </row>
    <row r="127" spans="1:4" x14ac:dyDescent="0.35">
      <c r="A127" t="s">
        <v>520</v>
      </c>
      <c r="B127" t="str">
        <f>_xlfn.XLOOKUP("Mount5Insig2Type", Base!A:A, Base!B:B, "N/A", 0, 1) &amp; " (" &amp; _xlfn.XLOOKUP("Mount5Insig2Quality", Base!A:A, Base!B:B, "", 0, 1) &amp; ")"</f>
        <v>Skill (Legendary)</v>
      </c>
      <c r="C127" t="str">
        <f>_xlfn.XLOOKUP("Mount5Insig2Type", Target!A:A, Target!B:B, "N/A", 0, 1) &amp; " (" &amp; _xlfn.XLOOKUP("Mount5Insig2Quality", Target!A:A, Target!B:B, "", 0, 1) &amp; ")"</f>
        <v>Dominance (Legendary)</v>
      </c>
      <c r="D127" s="3">
        <f t="shared" si="10"/>
        <v>0</v>
      </c>
    </row>
    <row r="128" spans="1:4" x14ac:dyDescent="0.35">
      <c r="A128" t="s">
        <v>521</v>
      </c>
      <c r="B128" t="str">
        <f>_xlfn.XLOOKUP("Mount5Insig3Type", Base!A:A, Base!B:B, "N/A", 0, 1) &amp; " (" &amp; _xlfn.XLOOKUP("Mount5Insig3Quality", Base!A:A, Base!B:B, "", 0, 1) &amp; ")"</f>
        <v>Skill (Epic)</v>
      </c>
      <c r="C128" t="str">
        <f>_xlfn.XLOOKUP("Mount5Insig3Type", Target!A:A, Target!B:B, "N/A", 0, 1) &amp; " (" &amp; _xlfn.XLOOKUP("Mount5Insig3Quality", Target!A:A, Target!B:B, "", 0, 1) &amp; ")"</f>
        <v>Dominance (Legendary)</v>
      </c>
      <c r="D128" s="3">
        <f t="shared" si="10"/>
        <v>0</v>
      </c>
    </row>
  </sheetData>
  <conditionalFormatting sqref="D7:D21 D23:D26 D28:D30 D32:D40">
    <cfRule type="iconSet" priority="28">
      <iconSet iconSet="3Symbols2" showValue="0">
        <cfvo type="percent" val="0"/>
        <cfvo type="num" val="0"/>
        <cfvo type="num" val="1"/>
      </iconSet>
    </cfRule>
  </conditionalFormatting>
  <conditionalFormatting sqref="D44:D45">
    <cfRule type="iconSet" priority="27">
      <iconSet iconSet="3Symbols2" showValue="0">
        <cfvo type="percent" val="0"/>
        <cfvo type="num" val="0"/>
        <cfvo type="num" val="1"/>
      </iconSet>
    </cfRule>
  </conditionalFormatting>
  <conditionalFormatting sqref="D48:D50">
    <cfRule type="iconSet" priority="26">
      <iconSet iconSet="3Symbols2" showValue="0">
        <cfvo type="percent" val="0"/>
        <cfvo type="num" val="0"/>
        <cfvo type="num" val="1"/>
      </iconSet>
    </cfRule>
  </conditionalFormatting>
  <conditionalFormatting sqref="D53:D55">
    <cfRule type="iconSet" priority="25">
      <iconSet iconSet="3Symbols2" showValue="0">
        <cfvo type="percent" val="0"/>
        <cfvo type="num" val="0"/>
        <cfvo type="num" val="1"/>
      </iconSet>
    </cfRule>
  </conditionalFormatting>
  <conditionalFormatting sqref="D58:D60">
    <cfRule type="iconSet" priority="23">
      <iconSet iconSet="3Symbols2" showValue="0">
        <cfvo type="percent" val="0"/>
        <cfvo type="num" val="0"/>
        <cfvo type="num" val="1"/>
      </iconSet>
    </cfRule>
  </conditionalFormatting>
  <conditionalFormatting sqref="D63:D65">
    <cfRule type="iconSet" priority="22">
      <iconSet iconSet="3Symbols2" showValue="0">
        <cfvo type="percent" val="0"/>
        <cfvo type="num" val="0"/>
        <cfvo type="num" val="1"/>
      </iconSet>
    </cfRule>
  </conditionalFormatting>
  <conditionalFormatting sqref="D68:D69">
    <cfRule type="iconSet" priority="21">
      <iconSet iconSet="3Symbols2" showValue="0">
        <cfvo type="percent" val="0"/>
        <cfvo type="num" val="0"/>
        <cfvo type="num" val="1"/>
      </iconSet>
    </cfRule>
  </conditionalFormatting>
  <conditionalFormatting sqref="D71:D72">
    <cfRule type="iconSet" priority="20">
      <iconSet iconSet="3Symbols2" showValue="0">
        <cfvo type="percent" val="0"/>
        <cfvo type="num" val="0"/>
        <cfvo type="num" val="1"/>
      </iconSet>
    </cfRule>
  </conditionalFormatting>
  <conditionalFormatting sqref="D22">
    <cfRule type="iconSet" priority="18">
      <iconSet iconSet="3Symbols2" showValue="0">
        <cfvo type="percent" val="0"/>
        <cfvo type="num" val="0"/>
        <cfvo type="num" val="1"/>
      </iconSet>
    </cfRule>
  </conditionalFormatting>
  <conditionalFormatting sqref="D27">
    <cfRule type="iconSet" priority="17">
      <iconSet iconSet="3Symbols2" showValue="0">
        <cfvo type="percent" val="0"/>
        <cfvo type="num" val="0"/>
        <cfvo type="num" val="1"/>
      </iconSet>
    </cfRule>
  </conditionalFormatting>
  <conditionalFormatting sqref="D31">
    <cfRule type="iconSet" priority="16">
      <iconSet iconSet="3Symbols2" showValue="0">
        <cfvo type="percent" val="0"/>
        <cfvo type="num" val="0"/>
        <cfvo type="num" val="1"/>
      </iconSet>
    </cfRule>
  </conditionalFormatting>
  <conditionalFormatting sqref="D46">
    <cfRule type="iconSet" priority="14">
      <iconSet iconSet="3Symbols2" showValue="0">
        <cfvo type="percent" val="0"/>
        <cfvo type="num" val="0"/>
        <cfvo type="num" val="1"/>
      </iconSet>
    </cfRule>
  </conditionalFormatting>
  <conditionalFormatting sqref="D51">
    <cfRule type="iconSet" priority="13">
      <iconSet iconSet="3Symbols2" showValue="0">
        <cfvo type="percent" val="0"/>
        <cfvo type="num" val="0"/>
        <cfvo type="num" val="1"/>
      </iconSet>
    </cfRule>
  </conditionalFormatting>
  <conditionalFormatting sqref="D56">
    <cfRule type="iconSet" priority="12">
      <iconSet iconSet="3Symbols2" showValue="0">
        <cfvo type="percent" val="0"/>
        <cfvo type="num" val="0"/>
        <cfvo type="num" val="1"/>
      </iconSet>
    </cfRule>
  </conditionalFormatting>
  <conditionalFormatting sqref="D61">
    <cfRule type="iconSet" priority="11">
      <iconSet iconSet="3Symbols2" showValue="0">
        <cfvo type="percent" val="0"/>
        <cfvo type="num" val="0"/>
        <cfvo type="num" val="1"/>
      </iconSet>
    </cfRule>
  </conditionalFormatting>
  <conditionalFormatting sqref="D66">
    <cfRule type="iconSet" priority="10">
      <iconSet iconSet="3Symbols2" showValue="0">
        <cfvo type="percent" val="0"/>
        <cfvo type="num" val="0"/>
        <cfvo type="num" val="1"/>
      </iconSet>
    </cfRule>
  </conditionalFormatting>
  <conditionalFormatting sqref="D41">
    <cfRule type="iconSet" priority="8">
      <iconSet iconSet="3Symbols2" showValue="0">
        <cfvo type="percent" val="0"/>
        <cfvo type="num" val="0"/>
        <cfvo type="num" val="1"/>
      </iconSet>
    </cfRule>
  </conditionalFormatting>
  <conditionalFormatting sqref="D42">
    <cfRule type="iconSet" priority="6">
      <iconSet iconSet="3Symbols2" showValue="0">
        <cfvo type="percent" val="0"/>
        <cfvo type="num" val="0"/>
        <cfvo type="num" val="1"/>
      </iconSet>
    </cfRule>
  </conditionalFormatting>
  <conditionalFormatting sqref="D75">
    <cfRule type="iconSet" priority="5">
      <iconSet iconSet="3Symbols2" showValue="0">
        <cfvo type="percent" val="0"/>
        <cfvo type="num" val="0"/>
        <cfvo type="num" val="1"/>
      </iconSet>
    </cfRule>
  </conditionalFormatting>
  <conditionalFormatting sqref="D76">
    <cfRule type="iconSet" priority="4">
      <iconSet iconSet="3Symbols2" showValue="0">
        <cfvo type="percent" val="0"/>
        <cfvo type="num" val="0"/>
        <cfvo type="num" val="1"/>
      </iconSet>
    </cfRule>
  </conditionalFormatting>
  <conditionalFormatting sqref="D77">
    <cfRule type="iconSet" priority="3">
      <iconSet iconSet="3Symbols2" showValue="0">
        <cfvo type="percent" val="0"/>
        <cfvo type="num" val="0"/>
        <cfvo type="num" val="1"/>
      </iconSet>
    </cfRule>
  </conditionalFormatting>
  <conditionalFormatting sqref="D78:D128">
    <cfRule type="iconSet" priority="1">
      <iconSet iconSet="3Symbols2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paperSize="9" orientation="portrait" r:id="rId1"/>
  <ignoredErrors>
    <ignoredError sqref="B35:C35 B41:C41 B107:C10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ource_Click">
                <anchor moveWithCells="1" sizeWithCells="1">
                  <from>
                    <xdr:col>2</xdr:col>
                    <xdr:colOff>19050</xdr:colOff>
                    <xdr:row>1</xdr:row>
                    <xdr:rowOff>19050</xdr:rowOff>
                  </from>
                  <to>
                    <xdr:col>2</xdr:col>
                    <xdr:colOff>2197100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Target_Click">
                <anchor moveWithCells="1" sizeWithCells="1">
                  <from>
                    <xdr:col>2</xdr:col>
                    <xdr:colOff>12700</xdr:colOff>
                    <xdr:row>2</xdr:row>
                    <xdr:rowOff>25400</xdr:rowOff>
                  </from>
                  <to>
                    <xdr:col>2</xdr:col>
                    <xdr:colOff>2190750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Base</vt:lpstr>
      <vt:lpstr>Target</vt:lpstr>
      <vt:lpstr>Compare</vt:lpstr>
      <vt:lpstr>Base!ExternalData_1</vt:lpstr>
      <vt:lpstr>Target!ExternalData_1</vt:lpstr>
      <vt:lpstr>Base!ExternalData_2</vt:lpstr>
      <vt:lpstr>Target!ExternalData_2</vt:lpstr>
      <vt:lpstr>Base!ExternalData_3</vt:lpstr>
      <vt:lpstr>Base!ExternalData_4</vt:lpstr>
      <vt:lpstr>Base!ExternalData_5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Jaroslav Klumpler</dc:creator>
  <cp:lastModifiedBy>Jaroslav Klumpler</cp:lastModifiedBy>
  <dcterms:created xsi:type="dcterms:W3CDTF">2021-01-31T11:39:53Z</dcterms:created>
  <dcterms:modified xsi:type="dcterms:W3CDTF">2021-04-05T08:33:05Z</dcterms:modified>
</cp:coreProperties>
</file>